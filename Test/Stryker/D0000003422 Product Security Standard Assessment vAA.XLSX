
<file path=[Content_Types].xml><?xml version="1.0" encoding="utf-8"?>
<Types xmlns="http://schemas.openxmlformats.org/package/2006/content-types">
  <Default Extension="bin" ContentType="application/vnd.openxmlformats-officedocument.spreadsheetml.printerSettings"/>
  <Default Extension="vsd" ContentType="application/vnd.visio"/>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defaultThemeVersion="124226"/>
  <mc:AlternateContent xmlns:mc="http://schemas.openxmlformats.org/markup-compatibility/2006">
    <mc:Choice Requires="x15">
      <x15ac:absPath xmlns:x15ac="http://schemas.microsoft.com/office/spreadsheetml/2010/11/ac" url="C:\Users\EHarn\Desktop\Product Security Program Documents\CQDC Reviewed Files\"/>
    </mc:Choice>
  </mc:AlternateContent>
  <xr:revisionPtr revIDLastSave="0" documentId="10_ncr:100000_{A15BAD6C-068E-4E8F-826F-A801EC3A69EE}" xr6:coauthVersionLast="31" xr6:coauthVersionMax="31" xr10:uidLastSave="{00000000-0000-0000-0000-000000000000}"/>
  <bookViews>
    <workbookView xWindow="120" yWindow="120" windowWidth="10500" windowHeight="5940" tabRatio="775" xr2:uid="{00000000-000D-0000-FFFF-FFFF00000000}"/>
  </bookViews>
  <sheets>
    <sheet name="NIST" sheetId="37" r:id="rId1"/>
    <sheet name="IEC" sheetId="38" r:id="rId2"/>
    <sheet name="System Security Level" sheetId="35" r:id="rId3"/>
  </sheets>
  <definedNames>
    <definedName name="_xlnm._FilterDatabase" localSheetId="0" hidden="1">NIST!$A$18:$K$380</definedName>
  </definedNames>
  <calcPr calcId="179017"/>
</workbook>
</file>

<file path=xl/calcChain.xml><?xml version="1.0" encoding="utf-8"?>
<calcChain xmlns="http://schemas.openxmlformats.org/spreadsheetml/2006/main">
  <c r="E13" i="37" l="1"/>
  <c r="E16" i="37"/>
  <c r="G25" i="38"/>
  <c r="G26" i="38"/>
  <c r="G27" i="38"/>
  <c r="G28" i="38"/>
  <c r="G29" i="38"/>
  <c r="G30" i="38"/>
  <c r="G31" i="38"/>
  <c r="G32" i="38"/>
  <c r="G33" i="38"/>
  <c r="G34" i="38"/>
  <c r="G35" i="38"/>
  <c r="G36" i="38"/>
  <c r="G37" i="38"/>
  <c r="G38" i="38"/>
  <c r="G39" i="38"/>
  <c r="G40" i="38"/>
  <c r="G41" i="38"/>
  <c r="G42" i="38"/>
  <c r="G43" i="38"/>
  <c r="G44" i="38"/>
  <c r="G45" i="38"/>
  <c r="G46" i="38"/>
  <c r="G47" i="38"/>
  <c r="G48" i="38"/>
  <c r="G49" i="38"/>
  <c r="G50" i="38"/>
  <c r="G51" i="38"/>
  <c r="G52" i="38"/>
  <c r="G53" i="38"/>
  <c r="G54" i="38"/>
  <c r="G55" i="38"/>
  <c r="G56" i="38"/>
  <c r="G57" i="38"/>
  <c r="G58" i="38"/>
  <c r="G59"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6"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24" i="38"/>
</calcChain>
</file>

<file path=xl/sharedStrings.xml><?xml version="1.0" encoding="utf-8"?>
<sst xmlns="http://schemas.openxmlformats.org/spreadsheetml/2006/main" count="2111" uniqueCount="444">
  <si>
    <t>SI-3 Malicious code protection</t>
  </si>
  <si>
    <t>SI-1 System and information integrity policy and procedures</t>
  </si>
  <si>
    <t>SC-8 Transmission confidentiality and integrity</t>
  </si>
  <si>
    <t>PE-4 Access control for transmission medium</t>
  </si>
  <si>
    <t>TXIG - The system shall ensure integrity of transmitted Health Data</t>
  </si>
  <si>
    <t>SC-13 Cryptographic protection</t>
  </si>
  <si>
    <t>SC-12 Cryptographic key establishment and management</t>
  </si>
  <si>
    <t>TXCF - The system shall ensure confidentiality of transmitted Health Data</t>
  </si>
  <si>
    <t>SC-28 Protection of information at rest</t>
  </si>
  <si>
    <t>SC-17 Public key infrastructure certificates</t>
  </si>
  <si>
    <t>PM-16 Threat awareness program</t>
  </si>
  <si>
    <t>PM-15 Contacts with security groups and associations</t>
  </si>
  <si>
    <t>PM-14 Testing, training and monitoring</t>
  </si>
  <si>
    <t>PM-12 Insider threat program</t>
  </si>
  <si>
    <t>PM-9 RISK MANAGEMENT strategy</t>
  </si>
  <si>
    <t>PM-1 Information security program plan</t>
  </si>
  <si>
    <t>SI-17 Fail-safe procedures</t>
  </si>
  <si>
    <t>SI-12 Information handling and retention</t>
  </si>
  <si>
    <t>SI-11 Error handling</t>
  </si>
  <si>
    <t>SI-10 Information input validation</t>
  </si>
  <si>
    <t>SI-8 Spam protection</t>
  </si>
  <si>
    <t>SI-7 Software and information integrity</t>
  </si>
  <si>
    <t>SI-6 Security functionality VERIFICATION</t>
  </si>
  <si>
    <t>SI-5 Security alerts, advisories, and directives</t>
  </si>
  <si>
    <t>SI-4 Information system monitoring</t>
  </si>
  <si>
    <t>SI-2 Flaw remediation</t>
  </si>
  <si>
    <t>SC-1 System and communications protection policy and procedures</t>
  </si>
  <si>
    <t>SA-16 Developer-provided training</t>
  </si>
  <si>
    <t>SA-5 Information system documentation</t>
  </si>
  <si>
    <t>SA-4 Acquisition PROCESS</t>
  </si>
  <si>
    <t>PS-1 Personnel security policy and procedures</t>
  </si>
  <si>
    <t>PL-8 Information security architecture</t>
  </si>
  <si>
    <t>PL-7 Security concept of operations</t>
  </si>
  <si>
    <t>PL-2 System security plan</t>
  </si>
  <si>
    <t>PL-1 Security planning policy and procedures</t>
  </si>
  <si>
    <t>IR-8 Incident response plan</t>
  </si>
  <si>
    <t>IR-7 Incident response assistance</t>
  </si>
  <si>
    <t>IR-2 Incident response training</t>
  </si>
  <si>
    <t>IR-1 Incident response policy and procedures</t>
  </si>
  <si>
    <t>CP-3 Contingency training</t>
  </si>
  <si>
    <t>CP-2 Contingency plan</t>
  </si>
  <si>
    <t>CP-1 Contingency planning policy and procedures</t>
  </si>
  <si>
    <t>AT-3 Security training</t>
  </si>
  <si>
    <t>AT-2 Security awareness training</t>
  </si>
  <si>
    <t>AT-1 Security awareness and training policy and procedures</t>
  </si>
  <si>
    <t>AC-2 Account management</t>
  </si>
  <si>
    <t>AC-1 Access control policy and management</t>
  </si>
  <si>
    <t>SGUD - The system service/user manuals shall provide security guidance for operators and administrators</t>
  </si>
  <si>
    <t>SC-43 Usage restrictions</t>
  </si>
  <si>
    <t>SC-42 Sensor capability and data</t>
  </si>
  <si>
    <t>SC-41 Port and I/O device access</t>
  </si>
  <si>
    <t>SC-40 Wireless link protection</t>
  </si>
  <si>
    <t>SC-31 Covert channel analysis</t>
  </si>
  <si>
    <t>SC-30 Concealment and misdirection</t>
  </si>
  <si>
    <t>SC-29 Heterogeneity</t>
  </si>
  <si>
    <t>SC-25 Thin nodes</t>
  </si>
  <si>
    <t>SA-18 Tamper resistance and detection</t>
  </si>
  <si>
    <t>SA-17 Developer security architecture and design</t>
  </si>
  <si>
    <t>SA-14 Criticality analysis</t>
  </si>
  <si>
    <t>CM-7 Least functionality</t>
  </si>
  <si>
    <t>CM-6 Configuration settings</t>
  </si>
  <si>
    <t>AC-19 Access control for mobile devices</t>
  </si>
  <si>
    <t>SAHD - System shall provide hardening features to guard against cyber attacks and malware</t>
  </si>
  <si>
    <t>SA-21 Developer screening</t>
  </si>
  <si>
    <t>SA-15 Development PROCESS, standards and tools</t>
  </si>
  <si>
    <t>SA-12 Supply chain protection</t>
  </si>
  <si>
    <t>SA-11 Developer security testing and evaluation</t>
  </si>
  <si>
    <t>SA-10 Developer configuration management</t>
  </si>
  <si>
    <t>SA-9 External information system services</t>
  </si>
  <si>
    <t>SA-8 Security engineering principles</t>
  </si>
  <si>
    <t>SA-3 System development life cycle</t>
  </si>
  <si>
    <t>SA-1 System and services acquisition policy and procedures</t>
  </si>
  <si>
    <t>MP-8 Media downgrading</t>
  </si>
  <si>
    <t>MP-1 Media protection policy and procedures</t>
  </si>
  <si>
    <t>MA-6 Timely maintenance</t>
  </si>
  <si>
    <t>MA-3 Maintenance tools</t>
  </si>
  <si>
    <t>MA-2 Controlled maintenance</t>
  </si>
  <si>
    <t>MA-1 System maintenance policy and procedures</t>
  </si>
  <si>
    <t>RDMP - The system software development plan shall address security support of 3rd party components throughout system life cycle</t>
  </si>
  <si>
    <t>RA-5 Vulnerability scanning</t>
  </si>
  <si>
    <t>PE-18 Location of information system components</t>
  </si>
  <si>
    <t>PE-9 Power equipment and power cabling</t>
  </si>
  <si>
    <t>PE-6 Monitoring physical access</t>
  </si>
  <si>
    <t>PE-5 Access control for output devices</t>
  </si>
  <si>
    <t>PE-3 Physical access control</t>
  </si>
  <si>
    <t>PE-2 Physical access authorizations</t>
  </si>
  <si>
    <t>PE-1 Physical and environmental protection policy and procedures</t>
  </si>
  <si>
    <t>MP-7 Media use</t>
  </si>
  <si>
    <t>MP-4 Media</t>
  </si>
  <si>
    <t>MP-2 Media access</t>
  </si>
  <si>
    <t>CP-6 Alternate storage site</t>
  </si>
  <si>
    <t>CA-7 Continuous monitoring</t>
  </si>
  <si>
    <t>AU-2 Audit events</t>
  </si>
  <si>
    <t>PLOK - The system components that maintain private data shall be physically secure</t>
  </si>
  <si>
    <t>IA-11 Re-authentication</t>
  </si>
  <si>
    <t>IA-10 Adaptive identification and authentication</t>
  </si>
  <si>
    <t>IA-8 Identification and authentication (non-organizational users)</t>
  </si>
  <si>
    <t>IA-7 Cryptographic module authentication</t>
  </si>
  <si>
    <t>IA-5 Authenticator management</t>
  </si>
  <si>
    <t>IA-4 Identifier management</t>
  </si>
  <si>
    <t>IA-2 Identification and authentication (organizational users)</t>
  </si>
  <si>
    <t>IA-1 Identification and authentication policy and procedures</t>
  </si>
  <si>
    <t>CM-1 Configuration management policy and procedures</t>
  </si>
  <si>
    <t>AU-10 Non-repudiation</t>
  </si>
  <si>
    <t>AC-18 Wireless access</t>
  </si>
  <si>
    <t>AC-17 Remote access</t>
  </si>
  <si>
    <t>AC-14 Permitted actions without identification or authentication</t>
  </si>
  <si>
    <t>AC-7 Unsuccessful logon attempts</t>
  </si>
  <si>
    <t xml:space="preserve">PAUT - The system shall provide the ability to authenticate users </t>
  </si>
  <si>
    <t>CM-3 Configuration change control</t>
  </si>
  <si>
    <t xml:space="preserve">NAUT - The system shall provide node authentication to ensure that only known devices can connect with each other and share data  </t>
  </si>
  <si>
    <t>SI-15 Information output filtering</t>
  </si>
  <si>
    <t>SC-44 Detonation chambers</t>
  </si>
  <si>
    <t>SC-37 Out-of-band channels</t>
  </si>
  <si>
    <t>SC-34 Non-modifiable executable programs</t>
  </si>
  <si>
    <t>SC-26 Honeypots</t>
  </si>
  <si>
    <t>SC-7 Boundary protection</t>
  </si>
  <si>
    <t>SA-13 Trustworthiness</t>
  </si>
  <si>
    <t>IR-6 Incident reporting</t>
  </si>
  <si>
    <t>IR-5 Incident monitoring</t>
  </si>
  <si>
    <t>IR-4 Incident handling</t>
  </si>
  <si>
    <t>IR-3 Incident response testing</t>
  </si>
  <si>
    <t>MLDP - The system shall support the use of anti-malware mechanism</t>
  </si>
  <si>
    <t>EMRG - The system shall provide users the ability to access private data in case of an emergency that requires immediate access to private data.</t>
  </si>
  <si>
    <t>IR-10 Integrated information security analysis team</t>
  </si>
  <si>
    <t>IR-9 Information spillage response</t>
  </si>
  <si>
    <t>CP-13 Alternative security mechanisms</t>
  </si>
  <si>
    <t>CP-10 Information system recovery and reconstitution</t>
  </si>
  <si>
    <t>CP-9 Information system backup</t>
  </si>
  <si>
    <t>CP-8 Telecommunications services</t>
  </si>
  <si>
    <t>CP-7 Alternate processing site</t>
  </si>
  <si>
    <t>CP-4 Contingency plan testing</t>
  </si>
  <si>
    <t>CM-5 Access restrictions for changes</t>
  </si>
  <si>
    <t>CM-2 Baseline configuration</t>
  </si>
  <si>
    <t>CM-1 Configuration management policy and procedure</t>
  </si>
  <si>
    <t>AU-9 Protection of audit information</t>
  </si>
  <si>
    <t>DM-2 Data retention and disposal</t>
  </si>
  <si>
    <t>DM-1 Minimization of personally identifiable information</t>
  </si>
  <si>
    <t>AU-11 Audit record retention</t>
  </si>
  <si>
    <t>AU-3 Content of audit records</t>
  </si>
  <si>
    <t>AT-1 Security assurance and training policy and protection</t>
  </si>
  <si>
    <t>AR-7 Privacy-enhanced system design and development</t>
  </si>
  <si>
    <t>AC-23 Data mining protection</t>
  </si>
  <si>
    <t>AC-21 Information sharing</t>
  </si>
  <si>
    <t>AC-8 System use notification</t>
  </si>
  <si>
    <t>DIDT - The system shall provide the ability to directly remove information that allows identification of a person.</t>
  </si>
  <si>
    <t>MA-5 Maintenance personnel</t>
  </si>
  <si>
    <t>MA-4 Nonlocal maintenance</t>
  </si>
  <si>
    <t>IA-9 Service identification and authentication</t>
  </si>
  <si>
    <t>CM-5 Access restrictions for change</t>
  </si>
  <si>
    <t>CM-4 Security impact analysis</t>
  </si>
  <si>
    <t>CM-9 Configuration management plan</t>
  </si>
  <si>
    <t>AC-6 Least privilege</t>
  </si>
  <si>
    <t>AC-5 Separation of duties</t>
  </si>
  <si>
    <t xml:space="preserve">CNFS - System shall provide the Hospital system administrator the ability  to configure the products security capabilities </t>
  </si>
  <si>
    <t>AU-16 Cross-organizational auditing</t>
  </si>
  <si>
    <t>AU-15 Alternate audit capacity</t>
  </si>
  <si>
    <t>AU-14 Session audit</t>
  </si>
  <si>
    <t>AU-13 Monitoring for information disclosure</t>
  </si>
  <si>
    <t>AU-12 Audit generation</t>
  </si>
  <si>
    <t>AU-8 Time stamps</t>
  </si>
  <si>
    <t>AU-7 Audit reduction and report generation</t>
  </si>
  <si>
    <t>AU-6 Audit review, analysis and reporting</t>
  </si>
  <si>
    <t>AU-5 Response to audit processing failures</t>
  </si>
  <si>
    <t>AU-4 Audit storage capacity</t>
  </si>
  <si>
    <t>AU-1 Audit and accountability policy and procedures</t>
  </si>
  <si>
    <t xml:space="preserve">AUDT - System shall provide audit controls documenting who is doing what with HEALTH DATA </t>
  </si>
  <si>
    <t>PL-4 Rules of behavior</t>
  </si>
  <si>
    <t>AC-24 Access control decisions</t>
  </si>
  <si>
    <t>AC-17: Remote access</t>
  </si>
  <si>
    <t>AC-7: Unsuccessful logon attempts</t>
  </si>
  <si>
    <t>AC-6: Least Privilege</t>
  </si>
  <si>
    <t>AC-5: Separation of duties</t>
  </si>
  <si>
    <t>AC-3: Access enforcement</t>
  </si>
  <si>
    <t>AC-2: Account Management</t>
  </si>
  <si>
    <t>AC-1: Access Control Policy and Management</t>
  </si>
  <si>
    <t>AUTH - The system shall provide role based controlled access to HEALTH DATA and functions - access to be provided only as necessary to perform the tasks required consistent with intended use</t>
  </si>
  <si>
    <t>AC-11 Session lock</t>
  </si>
  <si>
    <t>ALOF - System shall provide automatic logoff after a period of inactivity</t>
  </si>
  <si>
    <t>In scope of the product?</t>
  </si>
  <si>
    <t>ID</t>
  </si>
  <si>
    <t>System Security level Rationale</t>
  </si>
  <si>
    <t>Additional Control/Requirement Enhancements based upon System Security Level</t>
  </si>
  <si>
    <t>SR 2.5 Session Lock</t>
  </si>
  <si>
    <t>SR 2.6 Remote session termination</t>
  </si>
  <si>
    <t>SR 2.4 – Mobile code</t>
  </si>
  <si>
    <t>SR 2.8 Auditable events</t>
  </si>
  <si>
    <t>SR 2.9 Audit storage capacity</t>
  </si>
  <si>
    <t>SR 2.10 Response to audit processing failures</t>
  </si>
  <si>
    <t>SR 2.11 Timestamps</t>
  </si>
  <si>
    <t>SR 2.12 Non-repudiation</t>
  </si>
  <si>
    <t>SR 3.9 Protection of audit information</t>
  </si>
  <si>
    <t>SR 6.1 Audit reduction and report generation</t>
  </si>
  <si>
    <t>SR 6.2 Continuous monitoring</t>
  </si>
  <si>
    <t>SR 1.3 Account management</t>
  </si>
  <si>
    <t>SR 2.1 Authorization enforcement</t>
  </si>
  <si>
    <t>SR 7.6 Network and security configuration settings</t>
  </si>
  <si>
    <t>CSUP - The system shall provide the ability of on-site service staff, remote service staff, or authorized customer staff to install/upgrade device's security patches.</t>
  </si>
  <si>
    <t>No applicable SECURITY CONTROLS</t>
  </si>
  <si>
    <t>SR 4.2 Information persistence</t>
  </si>
  <si>
    <t>DTBK - The system shall have an integral data backup capability to recover after damage or destruction of device data, hardware or software.</t>
  </si>
  <si>
    <t>SR 3.6 Deterministic output</t>
  </si>
  <si>
    <t>SR 7.3 Control system backup</t>
  </si>
  <si>
    <t>SR 7.4 Control system recovery and reconstitution</t>
  </si>
  <si>
    <t>SR 1.4 Identifier Management</t>
  </si>
  <si>
    <t>SR 1.5 Authenticator Management</t>
  </si>
  <si>
    <t>IGAU - The device shall ensure the integrity of stored data with implicit/explicit error detection/correction technology</t>
  </si>
  <si>
    <t>SR 3.1 Communication Integrity</t>
  </si>
  <si>
    <t>SR 3.3 Security functionality VERIFICATION</t>
  </si>
  <si>
    <t>SR 3.4 Software and information integrity</t>
  </si>
  <si>
    <t>SR 3.5 Input validation</t>
  </si>
  <si>
    <t>SC-35 Honey clients</t>
  </si>
  <si>
    <t>SR 1.2 Software PROCESS and device identification and authentication</t>
  </si>
  <si>
    <t>SR 2.3 Use Control for portable and mobile devices</t>
  </si>
  <si>
    <t>SR 3.2 Malicious Code protection</t>
  </si>
  <si>
    <t>SR 1.3 Account Management</t>
  </si>
  <si>
    <t>SR 1.6 Wireless access management</t>
  </si>
  <si>
    <t>SR 1.8 Public Key Infrastructure (PKI) certificates</t>
  </si>
  <si>
    <t>SR 1.9 Strength of Public Key Authentication</t>
  </si>
  <si>
    <t>SR 1.10 Authenticator Feedback</t>
  </si>
  <si>
    <t>SR 1.11 Unsuccessful Login Attempts</t>
  </si>
  <si>
    <t>SR 1.13 Access via Untrusted Networks</t>
  </si>
  <si>
    <t>SR 4.3 Use of cryptography</t>
  </si>
  <si>
    <t>SR 1.1 Human user identification and authentication</t>
  </si>
  <si>
    <t>SR 1.7 Strength of Password-Based Authentication</t>
  </si>
  <si>
    <t>SR 4.1 Information confidentiality</t>
  </si>
  <si>
    <t>SR 7.7 Least functionality</t>
  </si>
  <si>
    <t>SR 2.1 Authorization Enforcement</t>
  </si>
  <si>
    <t>SR 2.2 Wireless use control</t>
  </si>
  <si>
    <t>SR 5.1 Network Segmentation</t>
  </si>
  <si>
    <t>SR 5.2 Zone boundary protection</t>
  </si>
  <si>
    <t>SR 5.4 Application partitioning</t>
  </si>
  <si>
    <t>STCF - The system shall establish technical controls to mitigate the potential for compromise to the integrity and confidentiality of health data stored on product or removable media</t>
  </si>
  <si>
    <t>SR 3.8 Session Integrity</t>
  </si>
  <si>
    <t>SR 1.12 – System use notification</t>
  </si>
  <si>
    <t>SR 5.3 General purpose person-to-person communication restrictions</t>
  </si>
  <si>
    <t>SR 3.7 Error handling</t>
  </si>
  <si>
    <t>SR 7.1 Denial of service protection</t>
  </si>
  <si>
    <t>SR 7.2 Resource management</t>
  </si>
  <si>
    <t>SR 7.5 Emergency power</t>
  </si>
  <si>
    <t>INSTRUCTIONS FOR USE:</t>
  </si>
  <si>
    <t xml:space="preserve">   A.  If it is determined at a capability is not in scope for this product, provide a rationale of why it is not in scope.</t>
  </si>
  <si>
    <t>PII</t>
  </si>
  <si>
    <t>PHI</t>
  </si>
  <si>
    <t>AP-1  Authority to Collect</t>
  </si>
  <si>
    <t>AP-2 Purpose Specification</t>
  </si>
  <si>
    <t>AR-1  Governance and Privacy Program</t>
  </si>
  <si>
    <t>AR-2 Privacy Impact and Risk Assessment</t>
  </si>
  <si>
    <t>AR-3 Privacy Requirements for Contractors and Service Providers</t>
  </si>
  <si>
    <t>AR-4 Privacy Monitoring and Auditing</t>
  </si>
  <si>
    <t>AR-5 Privacy Awareness and Training</t>
  </si>
  <si>
    <t>AR-6 Privacy Reporting</t>
  </si>
  <si>
    <t>AR-8 Accounting of Disclosures</t>
  </si>
  <si>
    <t>DI-1 Data Quality</t>
  </si>
  <si>
    <t>DI-2 Data Integrity and Data Integrity Board</t>
  </si>
  <si>
    <t>DM-3 Minimization of PII Used in Testing, Training, and IP</t>
  </si>
  <si>
    <t>IP-1 Consent</t>
  </si>
  <si>
    <t>IP-2 Individual Access</t>
  </si>
  <si>
    <t>IP-3 Redress</t>
  </si>
  <si>
    <t>IP-4 Complaint Management</t>
  </si>
  <si>
    <t>SE-1 Inventory of Personally Idntifiable Information</t>
  </si>
  <si>
    <t>SE-2 Privacy Incident Response</t>
  </si>
  <si>
    <t>TR-1 Privacy Notice</t>
  </si>
  <si>
    <t>TR-2 System of Records Notices and Privacy Act</t>
  </si>
  <si>
    <t>TR-3 Dissemination of Privacy Program Information</t>
  </si>
  <si>
    <t>UL-1 Internal Use</t>
  </si>
  <si>
    <t>UL-2 Information Sharing with Third Parties</t>
  </si>
  <si>
    <t>IEC 80001-2-2</t>
  </si>
  <si>
    <t>IEC 80001-2-8</t>
  </si>
  <si>
    <t>The potential impact is LOW if—</t>
  </si>
  <si>
    <t>− The loss of confidentiality, integrity, or availability could be expected to have a limited adverse effect on organizational operations, organizational assets, or individuals.2</t>
  </si>
  <si>
    <t>AMPLIFICATION: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t>
  </si>
  <si>
    <t>The potential impact is MODERATE if—</t>
  </si>
  <si>
    <t>− The loss of confidentiality, integrity, or availability could be expected to have a serious adverse effect on organizational operations, organizational assets, or individuals.</t>
  </si>
  <si>
    <t>AMPLIFICATION: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t>
  </si>
  <si>
    <t>The potential impact is HIGH if—</t>
  </si>
  <si>
    <t>− The loss of confidentiality, integrity, or availability could be expected to have a severe or catastrophic adverse effect on organizational operations, organizational assets, or individuals.</t>
  </si>
  <si>
    <t>AMPLIFICATION: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t>
  </si>
  <si>
    <t xml:space="preserve">A low-impact system is an information system in which all three of the security objectives are low. </t>
  </si>
  <si>
    <t xml:space="preserve">A moderate-impact system is an information system in which at least one of the security objectives is moderate and no security objective is greater than moderate. </t>
  </si>
  <si>
    <t>A high-impact system is an information system in which at least one security objective is high.</t>
  </si>
  <si>
    <t>SC information type = {(confidentiality, impact), (integrity, impact), (availability, impact)},</t>
  </si>
  <si>
    <t>SL 0: No specific requirements or security protection necessary SL 0 has multiple meanings depending on the situation in which it is applied. In defining SL-C it would mean that the component or system fails to meet some of the SL 1 requirements for that particular FR. This would most likely be for components or systems that would be part of a larger zone where other components or systems would provide compensating countermeasures. In defining SL-T for a particular zone it means that the asset owner has determined that the results of their risk analysis indicate that less than the full SL 1 specific requirements are necessary for that particular FR on that component or system. This would more likely happen for individual components within a system or zone that do not contribute in any way to the FR-specific requirements. In defining SL-A it would mean that the particular zone fails to meet some of the SL 1 requirements for that particular FR.</t>
  </si>
  <si>
    <t>SL 3: Protection against intentional violation using sophisticated means with moderate resources, IACS specific skills and moderate motivation Sophisticated means require advanced security knowledge, advanced domain knowledge, advanced knowledge of the target system or any combination of these. An attacker going after a SL 3 system will likely be using attack vectors that have been customized for the specific target system. The attacker may use exploits in operating systems that are not well known, weaknesses in industrial protocols, specific information about a particular target to violate the security of the system or other means that require a greater motivation as well as skill and knowledge set than are required for SL 1 or 2. An example of sophisticated means could be password or key cracking tools based on hash tables. These tools are available for download, but applying them takes knowledge of the system (such as the hash of a password to crack). Using Figure A.1, another example would be an attacker that gains access to the FS-PLC through the serial conduit after gaining access to the control PLC through a vulnerability in the Ethernet controller. Using Figure A.2, a third example would be an attacker that gains access to the data historian by using a brute-force attack through the industrial/enterprise DMZ firewall initiated from the enterprise wireless network.</t>
  </si>
  <si>
    <t xml:space="preserve">     FR = Foundational Requirement</t>
  </si>
  <si>
    <t xml:space="preserve">     IAC = Identification and authentication control</t>
  </si>
  <si>
    <t xml:space="preserve">     UC = Use control</t>
  </si>
  <si>
    <t xml:space="preserve">     SI = System integrity</t>
  </si>
  <si>
    <t xml:space="preserve">     DC = Data confidentiality</t>
  </si>
  <si>
    <t xml:space="preserve">     RDF = Restricted data flow</t>
  </si>
  <si>
    <t xml:space="preserve">     TRE = Timely response to events</t>
  </si>
  <si>
    <t xml:space="preserve">     RA = Resource availability</t>
  </si>
  <si>
    <t xml:space="preserve">SL 1: Protection against casual or coincidental violation Casual or coincidental violations of security are usually through the lax application of security policies. These can be caused by well-meaning employees just as easily as they can be by an outsider threat. Many of these violations will be security program related and will be handled by enforcing policies and procedures.A simple example would be an operator able to change a set point to a value outside certain conditions determined by the engineering staff. The system did not enforce the proper authentication and use control restrictions to disallow the change by the operator. Another example would be a password being sent in clear text, allowing a network engineer to view the password while troubleshooting the system. The system did not enforce proper data confidentiality to protect the password. </t>
  </si>
  <si>
    <t>SL 2: Protection against intentional violation using simple means with low resources, generic skills and low motivation Simple means do not require much knowledge on the part of the attacker. The attacker does not need detailed knowledge of security, the domain or the particular system under attack. These attack vectors are well known and there may be automated tools for aiding the attacker. They are also designed to attack a wide range of systems instead of targeting a specific system, so an attacker does not need a significant level of motivation or resources at hand. An example would be a virus that infects a workstation spreading to another engineering workstation since they both use the same general purpose operating system. Another example would be an attacker compromising a web server in the enterprise network by an exploit downloaded from the Internet for a publicly known vulnerability in the general purpose operating system of the web server. The attacker uses the web server as a pivot point in an attack against other systems in the enterprise network as well as the industrial network. A third example would be an operator that views a website which downloads a Trojan that opens a hole in the routers and firewalls to the Internet.</t>
  </si>
  <si>
    <t>SL 4: Protection against intentional violation using sophisticated means with extended resources, IACS specific skills and high motivation SL 3 and SL 4 are very similar in that they both involve sophisticated means used to violate the security requirements of the system. The difference comes from the attacker being even more motivated and having extended resources at their disposal. These may involve high-performance computing resources, large numbers of computers or extended periods of time. An example of sophisticated means with extended resources would be using super computers or computer clusters to conduct brute-force password cracking using large hash tables. Another example would be a botnet used to attack a system using multiple attack vectors at once. A third example would be an organized crime organization that has the motivation and resources to spend weeks attempting to analyze a system and develop custom “zero-day” exploits.</t>
  </si>
  <si>
    <t xml:space="preserve">    RE = Requirement Enhancement</t>
  </si>
  <si>
    <t xml:space="preserve">     SL= Security Level</t>
  </si>
  <si>
    <t xml:space="preserve">SL-? = (Required) The SL type. SL-C = Capabilities SL [FR,] = (Optional) Field indicating the FR that the SL value applies. The FRs are written out in abbreviated form instead of numerical form to aid in readability. domain = (Required) The applicable domain that the SL applies. Domains can refer to zones, control systems, subsystems or components.In this particular standard, all requirements refer to a control system, so the domain term is not used as it would be by other documents in the IEC 62443 series. </t>
  </si>
  <si>
    <t>Security Level Vector:    SL-?([FR,]domain) = { IAC UC SI DC RDF TRE RA }      Example:  SL-C ("Product") = {3 2 2 1 1 3 2}</t>
  </si>
  <si>
    <t>General description and distinctions between Security Levels</t>
  </si>
  <si>
    <t xml:space="preserve">   A.  If a particular Security code that is specified per step 3 will not be utilized, provide a rationale.</t>
  </si>
  <si>
    <t>Rationale for not utilizing control if identified per Security Level</t>
  </si>
  <si>
    <t>Yes</t>
  </si>
  <si>
    <t>Mod (1) (2) (3) (4), High (1) (2) (3) (4)</t>
  </si>
  <si>
    <t>No</t>
  </si>
  <si>
    <t>N/A</t>
  </si>
  <si>
    <t>High (1)</t>
  </si>
  <si>
    <t>Mod (3) (4), High (3) (4)</t>
  </si>
  <si>
    <t>Mod (1), High (1) (2)</t>
  </si>
  <si>
    <t>High (1) (2)</t>
  </si>
  <si>
    <t>SL-3 (1), SL-4 (1)</t>
  </si>
  <si>
    <t>SL-3 (1), SL-4 (1) (2)</t>
  </si>
  <si>
    <t>SL-4 (1)</t>
  </si>
  <si>
    <t>Mod (1) (2), High (1) (2)</t>
  </si>
  <si>
    <t>Mod (1) (2) (3) (4) (5) (7) (8), High  (1) (2) (3) (4) (5) (7) (8)</t>
  </si>
  <si>
    <t>Mod (1) , High  (1) (2) (4) (5)</t>
  </si>
  <si>
    <t>Mod (1) (2) (3), High (1) (2) (3)</t>
  </si>
  <si>
    <t>SL-2 (1) (2),  SL-3 (1) (2) (3), SL-4 (1) (2) (3) (4)</t>
  </si>
  <si>
    <t>Mod (1) (3) (4),  High (1) (2) (3) (5) (6)</t>
  </si>
  <si>
    <t>Mod (2), High (1) (2)</t>
  </si>
  <si>
    <t>High (1) (2) (3)</t>
  </si>
  <si>
    <t>Mod (3), High (1) (2) (3)</t>
  </si>
  <si>
    <t>Mod (1) (2), High (1) (2) (3)</t>
  </si>
  <si>
    <t>Mod (1), High (1) (2) (3)</t>
  </si>
  <si>
    <t>Mod (1), High (1) (2) (4)</t>
  </si>
  <si>
    <t>Mod (1) (3), High (1) (2) (3)</t>
  </si>
  <si>
    <t>Mod (1) (2) (3) (5), High (1) (2) (3) (4) (5)</t>
  </si>
  <si>
    <t>Mod (1) (2), High (1) (2) (3) (4)</t>
  </si>
  <si>
    <t>Mod (1), High (1)</t>
  </si>
  <si>
    <t>SL-2 (1), SL-3 (1) (2), SL-4 (1) (2)</t>
  </si>
  <si>
    <t>Mod (1), High (1) (2) (3) (4) (5) (7)</t>
  </si>
  <si>
    <t>Mod (1) (4), High (1) (2) (4)</t>
  </si>
  <si>
    <t>Mod (1) (2) (3) (4) (5) (7), High (1) (2) (3) (4) (5) (6) (7) (8)</t>
  </si>
  <si>
    <t>Mod (2) (4) (5) (6), High (2) (4) (5) (6)</t>
  </si>
  <si>
    <t>SL-2 (1), SL-3 (1), SL-4 (1)</t>
  </si>
  <si>
    <t>Low (1), Mod (1) (2) (3) (8), High (1) (2) (3) (4) (8) (9)</t>
  </si>
  <si>
    <t xml:space="preserve">Low (1), Mod (1) (2) (3), High (1) (2) (3) </t>
  </si>
  <si>
    <t>SL-2 (1), SL-3 (1) (2), SL-4 (1) (2) (3)</t>
  </si>
  <si>
    <t>SL-2 (1), SL-3 (1), SL-4 (1) (2)</t>
  </si>
  <si>
    <t>SL-3 (1) (2), SL-4 (1) (2) (3)</t>
  </si>
  <si>
    <t xml:space="preserve">System Security level:  
SP 800-53                                   Low                Mod                High
</t>
  </si>
  <si>
    <t>System Security level:  
ISO IEC 62443-3-3                      SL-1                SL-2                 SL-3                  SL-4</t>
  </si>
  <si>
    <t>Product Security Standard  Assessment - ISO IEC 62443-3-3 Controls</t>
  </si>
  <si>
    <t>2.  Determine the System Security level for the product under development and provide rationale for this classification.  (Ref IEC 62443-3-3 Annex A.)</t>
  </si>
  <si>
    <t>3. For those Security Capabilities identified as in scope in step 1, and the System Security levels determined in step 2, evaluate and identify which Security Controls will be utilized in the design.  Iinclude additional controls/requirements based upon the determined System Security Level.  (Ref  IEC 62443-3-3 Table B.1)</t>
  </si>
  <si>
    <t>Product Security Standard  Assessment - NIST SP 800-53 Controls</t>
  </si>
  <si>
    <t>Target Level</t>
  </si>
  <si>
    <t>Chapter</t>
  </si>
  <si>
    <t xml:space="preserve">Chapter </t>
  </si>
  <si>
    <t>Target Security Level</t>
  </si>
  <si>
    <t>SL-2</t>
  </si>
  <si>
    <t>SL-3</t>
  </si>
  <si>
    <t>SL-1</t>
  </si>
  <si>
    <t>Yes + (1)</t>
  </si>
  <si>
    <t>Yes + (1) (2)</t>
  </si>
  <si>
    <t>Yes + 
(1) (2) (3)</t>
  </si>
  <si>
    <t>Yes + 
(1) (2) (3) (4)</t>
  </si>
  <si>
    <t xml:space="preserve">Yes + (1) (2) </t>
  </si>
  <si>
    <t xml:space="preserve">Yes + (1) </t>
  </si>
  <si>
    <t>Yes 
+ (1) (2) (3)</t>
  </si>
  <si>
    <t>Yes 
+ (1) (2) (3) (4)</t>
  </si>
  <si>
    <t>Yes
 + (1) (2) (3)</t>
  </si>
  <si>
    <t>System Security Level Baseline
SL-1                   SL-2                   SL-3                   SL-4</t>
  </si>
  <si>
    <t>Pick your target Security Level for each chapter here:</t>
  </si>
  <si>
    <t>Security Level Rationale:</t>
  </si>
  <si>
    <t>Yes + (1) (2) (3)</t>
  </si>
  <si>
    <t>Low</t>
  </si>
  <si>
    <t>Moderate</t>
  </si>
  <si>
    <t>High</t>
  </si>
  <si>
    <t>Pick your target Security Level for System:</t>
  </si>
  <si>
    <t>SSL</t>
  </si>
  <si>
    <t>Confidentiality</t>
  </si>
  <si>
    <t>Integrity</t>
  </si>
  <si>
    <t>Availability</t>
  </si>
  <si>
    <t>SL</t>
  </si>
  <si>
    <t>Yes + (1) (2) (3) (4)</t>
  </si>
  <si>
    <t>Yes + (3) (4)</t>
  </si>
  <si>
    <t>Yes + (1) (2) (3) (4) (5) (7) (8)</t>
  </si>
  <si>
    <t>Yes + (1) (2) (4) (5)</t>
  </si>
  <si>
    <t>Yes + (1) (3) (4)</t>
  </si>
  <si>
    <t>Yes + (2)</t>
  </si>
  <si>
    <t>Yes + (3)</t>
  </si>
  <si>
    <t>Yes + (1) (3)</t>
  </si>
  <si>
    <t>Yes + (1) (2) (3) (5)</t>
  </si>
  <si>
    <t>Yes + (2) (3)</t>
  </si>
  <si>
    <t>Yes + (1) (4)</t>
  </si>
  <si>
    <t>Yes + (2) (4) (5) (6)</t>
  </si>
  <si>
    <t>Yes + (1) (2) (3) (8)</t>
  </si>
  <si>
    <t>Yes + (1) (2) (3) (5) (6)</t>
  </si>
  <si>
    <t>Yes + (2) (3) (4)</t>
  </si>
  <si>
    <t>Mod (2) (3), High (2) (3) (4)</t>
  </si>
  <si>
    <t>Yes + (1) (2) (4)</t>
  </si>
  <si>
    <t>Yes + (1) (2) (3) (4) (5)</t>
  </si>
  <si>
    <t>Yes + (1) (2) (3) (4) (5) (7)</t>
  </si>
  <si>
    <t>Yes + (1) (2) (3) (4) (5) (6) (7) (8)</t>
  </si>
  <si>
    <t>Yes + (1) (2) (3) (4) (8) (9)</t>
  </si>
  <si>
    <t xml:space="preserve">System Security Level Baseline
Low                                   Moderate                                High
</t>
  </si>
  <si>
    <t>REFERENCE FOR SYSTEM SECURITY LEVEL</t>
  </si>
  <si>
    <t xml:space="preserve">Security Controls </t>
  </si>
  <si>
    <t>Security Capability (Applicable = Design Inputs)</t>
  </si>
  <si>
    <t>Traceability reference (SRS,SDD, etc)</t>
  </si>
  <si>
    <t xml:space="preserve">164.312(a)(2)(i) Unique User Identification (R): Assign a unique 
name and/or number for identifying and tracking user identity. </t>
  </si>
  <si>
    <t xml:space="preserve">    AC-2 Account management</t>
  </si>
  <si>
    <t xml:space="preserve">    AC-3: Access enforcement</t>
  </si>
  <si>
    <t xml:space="preserve">    IA-2 Identification and authentication (organizational users)</t>
  </si>
  <si>
    <t xml:space="preserve">    IA-4 Identifier management</t>
  </si>
  <si>
    <t xml:space="preserve">    IA-3 Device Identification and Authentication</t>
  </si>
  <si>
    <t xml:space="preserve">164.312(a)(2)(ii) Emergency Access Procedure (R): Establish (and implement as needed) procedures for obtaining necessary electronic protected health information during an emergency. </t>
  </si>
  <si>
    <t xml:space="preserve">    CP-2 Contingency Plan</t>
  </si>
  <si>
    <t xml:space="preserve">164.312(a)(2)(iii)  Automatic Logoff (A): Implement electronic 
procedures that terminate an electronic session after a predetermined time of inactivity. </t>
  </si>
  <si>
    <t xml:space="preserve">    AC-11 Session lock</t>
  </si>
  <si>
    <t xml:space="preserve">    AC-12 Session Termination</t>
  </si>
  <si>
    <t xml:space="preserve">164.312(a)(2)(iv) Encryption and Decryption (A): Implement a 
mechanism to encrypt and decrypt electronic 
protected health information. </t>
  </si>
  <si>
    <t xml:space="preserve">    SC-13 Cryptographic protection</t>
  </si>
  <si>
    <t xml:space="preserve">164.312(b) Audit Controls: Implement hardware, 
software, and/or procedural mechanisms that record and examine activity in information systems that contain or use electronic protected health information. </t>
  </si>
  <si>
    <t>164.312(c)(2) Mechanism to Authenticate Electronic Protected Health Information (A): Implement electronic mechanisms to corroborate that electronic protected health information has not been altered or destroyed in an unauthorized manner.</t>
  </si>
  <si>
    <t xml:space="preserve">164.312(d) Person or Entity Authentication: Implement 
procedures to verify that a person or entity 
seeking access to electronic protected health information is the one claimed. </t>
  </si>
  <si>
    <t xml:space="preserve">164.312 (e)(1) Transmission Security: Implement technical 
security measures to guard against 
unauthorized access to electronic protected health information that is being transmitted over an electronic communications network. </t>
  </si>
  <si>
    <t xml:space="preserve">164.312(e)(2)(i)  Integrity Controls (A): Implement security measures to ensure that electronically transmitted electronic protected health information is not improperly modified without detection until disposed of. </t>
  </si>
  <si>
    <t>164.312(e)(2)(ii)  Encryption (A): Implement a mechanism to encrypt electronic protected health information whenever deemed appropriate.</t>
  </si>
  <si>
    <t xml:space="preserve">    AU-1 Audit and accountability policy and procedures</t>
  </si>
  <si>
    <t xml:space="preserve">    AU-2 Audit events</t>
  </si>
  <si>
    <t xml:space="preserve">    AU-3 Content of audit records</t>
  </si>
  <si>
    <t xml:space="preserve">    AU-4 Audit storage capacity</t>
  </si>
  <si>
    <t xml:space="preserve">    AU-6 Audit review, analysis and reporting</t>
  </si>
  <si>
    <t xml:space="preserve">    AU-7 Audit reduction and report generation</t>
  </si>
  <si>
    <t>164.312(c)(1) Integrity: Implement policies and procedures to protect electronic protected health information from improper alteration or destruction.</t>
  </si>
  <si>
    <t xml:space="preserve">    CP-9 Information system backup</t>
  </si>
  <si>
    <t xml:space="preserve">    MP-2 Media access</t>
  </si>
  <si>
    <t xml:space="preserve">    MP-5 Media Transport</t>
  </si>
  <si>
    <t xml:space="preserve">    SC-8 Transmission confidentiality and integrity</t>
  </si>
  <si>
    <t xml:space="preserve">    SI-1 System and information integrity policy and procedures</t>
  </si>
  <si>
    <t xml:space="preserve">    SI-7 Software and information integrity</t>
  </si>
  <si>
    <t xml:space="preserve">    SC-9 Transmission Confidentiality</t>
  </si>
  <si>
    <t xml:space="preserve">    SC-12 Cryptographic key establishment and management</t>
  </si>
  <si>
    <t>4.  If PHI and/or PII will be part of the product system design, then additional Security Controls need to be evaluated and added if applicable (Ref ID 200 &amp; 210)</t>
  </si>
  <si>
    <t>Rationale (if not utilizing capability)</t>
  </si>
  <si>
    <t>1.  Based upon identified User Needs and System Architecture, determine which, if any, of the 19 Security Capabilities are applicalbe to this product design. (Ref IEC/TR 80001-2-2)</t>
  </si>
  <si>
    <t>3. For those Security Capabilities identified as in scope in step 1, and the System Security levels determined in step 2, evaluate and identify which Security Controls will be utilized in the design.  Include additional controls/requirements based upon the determined System Security Level.  (Ref NIST SP 800-53 Table D-2,)</t>
  </si>
  <si>
    <t xml:space="preserve">NIST SP 800-53:  </t>
  </si>
  <si>
    <t xml:space="preserve">IEC 62443-3-3 </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</si>
  <si>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</si>
  <si>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</si>
  <si>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r>
      <t>2. Determine the System Security level for the product under development and provide rationale for this classification.  (Ref FIPS 199 Table 1 if utilzing NIST SP 800-53 ) (</t>
    </r>
    <r>
      <rPr>
        <b/>
        <sz val="10"/>
        <rFont val="Cambria"/>
        <family val="1"/>
      </rPr>
      <t>Note</t>
    </r>
    <r>
      <rPr>
        <sz val="10"/>
        <rFont val="Cambria"/>
        <family val="1"/>
      </rPr>
      <t>: Currently Medical Devices are considered</t>
    </r>
    <r>
      <rPr>
        <b/>
        <sz val="10"/>
        <rFont val="Cambria"/>
        <family val="1"/>
      </rPr>
      <t xml:space="preserve"> High </t>
    </r>
    <r>
      <rPr>
        <sz val="10"/>
        <rFont val="Cambria"/>
        <family val="1"/>
      </rPr>
      <t>System Security Level)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</si>
</sst>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1"/>
      <color theme="1"/>
      <name val="Calibri"/>
      <family val="2"/>
      <scheme val="minor"/>
    </font>
    <font>
      <sz val="10"/>
      <name val="Arial"/>
      <family val="2"/>
    </font>
    <font>
      <sz val="11"/>
      <color indexed="8"/>
      <name val="Calibri"/>
      <family val="2"/>
      <charset val="1"/>
    </font>
    <font>
      <sz val="10"/>
      <color theme="6" tint="-0.499984740745262"/>
      <name val="Arial"/>
      <family val="2"/>
    </font>
    <font>
      <sz val="12"/>
      <color theme="1"/>
      <name val="Calibri"/>
      <family val="2"/>
      <scheme val="minor"/>
    </font>
    <font>
      <sz val="10"/>
      <name val="Cambria"/>
      <family val="1"/>
    </font>
    <font>
      <sz val="11"/>
      <name val="Cambria"/>
      <family val="1"/>
    </font>
    <font>
      <sz val="9"/>
      <name val="Cambria"/>
      <family val="1"/>
    </font>
    <font>
      <sz val="8"/>
      <color theme="1"/>
      <name val="Cambria"/>
      <family val="1"/>
    </font>
    <font>
      <b/>
      <sz val="10"/>
      <name val="Cambria"/>
      <family val="1"/>
    </font>
    <font>
      <b/>
      <sz val="16"/>
      <name val="Cambria"/>
      <family val="1"/>
    </font>
    <font>
      <sz val="10"/>
      <color theme="6" tint="-0.499984740745262"/>
      <name val="Cambria"/>
      <family val="1"/>
    </font>
    <font>
      <b/>
      <sz val="11"/>
      <color theme="1"/>
      <name val="Cambria"/>
      <family val="1"/>
    </font>
    <font>
      <b/>
      <sz val="11"/>
      <name val="Cambria"/>
      <family val="1"/>
    </font>
    <font>
      <sz val="10"/>
      <color theme="0" tint="-0.499984740745262"/>
      <name val="Cambria"/>
      <family val="1"/>
    </font>
    <font>
      <u/>
      <sz val="10"/>
      <color theme="0" tint="-0.499984740745262"/>
      <name val="Cambria"/>
      <family val="1"/>
    </font>
    <font>
      <u/>
      <sz val="10"/>
      <name val="Cambria"/>
      <family val="1"/>
    </font>
    <font>
      <b/>
      <sz val="9"/>
      <color theme="0"/>
      <name val="Cambria"/>
      <family val="1"/>
    </font>
    <font>
      <sz val="10"/>
      <color rgb="FFEEEEEE"/>
      <name val="Cambria"/>
      <family val="1"/>
    </font>
  </fonts>
  <fills count="10">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theme="4"/>
      </left>
      <right/>
      <top style="thin">
        <color theme="4"/>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5">
    <xf numFmtId="0" fontId="0" fillId="0" borderId="0"/>
    <xf numFmtId="0" fontId="2" fillId="0" borderId="0"/>
    <xf numFmtId="0" fontId="1" fillId="0" borderId="0"/>
    <xf numFmtId="0" fontId="3" fillId="0" borderId="0"/>
    <xf numFmtId="0" fontId="5" fillId="0" borderId="0"/>
  </cellStyleXfs>
  <cellXfs count="120">
    <xf numFmtId="0" fontId="0" fillId="0" borderId="0" xfId="0"/>
    <xf numFmtId="0" fontId="0" fillId="0" borderId="0" xfId="0" applyAlignment="1">
      <alignment wrapText="1"/>
    </xf>
    <xf numFmtId="0" fontId="2" fillId="0" borderId="0" xfId="1" applyAlignment="1">
      <alignment wrapText="1"/>
    </xf>
    <xf numFmtId="0" fontId="2" fillId="0" borderId="0" xfId="1" applyAlignment="1">
      <alignment vertical="top" wrapText="1"/>
    </xf>
    <xf numFmtId="0" fontId="2" fillId="0" borderId="0" xfId="1"/>
    <xf numFmtId="0" fontId="2" fillId="0" borderId="0" xfId="1" applyFont="1" applyAlignment="1">
      <alignment vertical="top" wrapText="1"/>
    </xf>
    <xf numFmtId="0" fontId="2" fillId="0" borderId="0" xfId="1" applyAlignment="1">
      <alignment vertical="top"/>
    </xf>
    <xf numFmtId="0" fontId="4" fillId="0" borderId="0" xfId="1" applyFont="1" applyAlignment="1">
      <alignment wrapText="1"/>
    </xf>
    <xf numFmtId="0" fontId="9" fillId="0" borderId="0" xfId="0" applyFont="1"/>
    <xf numFmtId="0" fontId="9" fillId="0" borderId="0" xfId="0" applyFont="1" applyAlignment="1">
      <alignment wrapText="1"/>
    </xf>
    <xf numFmtId="0" fontId="10" fillId="0" borderId="0" xfId="0" applyFont="1"/>
    <xf numFmtId="0" fontId="6" fillId="0" borderId="0" xfId="0" applyFont="1"/>
    <xf numFmtId="0" fontId="6" fillId="0" borderId="0" xfId="0" applyFont="1" applyAlignment="1">
      <alignment wrapText="1"/>
    </xf>
    <xf numFmtId="0" fontId="10" fillId="0" borderId="0" xfId="0" applyFont="1" applyAlignment="1">
      <alignment wrapText="1"/>
    </xf>
    <xf numFmtId="0" fontId="6" fillId="0" borderId="0" xfId="0" applyFont="1" applyAlignment="1">
      <alignment vertical="top" wrapText="1"/>
    </xf>
    <xf numFmtId="0" fontId="6" fillId="0" borderId="0" xfId="1" applyFont="1" applyAlignment="1">
      <alignment wrapText="1"/>
    </xf>
    <xf numFmtId="0" fontId="11" fillId="0" borderId="0" xfId="1" applyFont="1" applyAlignment="1"/>
    <xf numFmtId="0" fontId="6" fillId="0" borderId="0" xfId="1" applyFont="1" applyAlignment="1">
      <alignment vertical="top" wrapText="1"/>
    </xf>
    <xf numFmtId="0" fontId="6" fillId="0" borderId="0" xfId="1" applyFont="1"/>
    <xf numFmtId="0" fontId="6" fillId="0" borderId="0" xfId="1" applyFont="1" applyAlignment="1">
      <alignment vertical="top"/>
    </xf>
    <xf numFmtId="0" fontId="12" fillId="0" borderId="0" xfId="1" applyFont="1" applyAlignment="1">
      <alignment wrapText="1"/>
    </xf>
    <xf numFmtId="0" fontId="10" fillId="0" borderId="10" xfId="1" applyFont="1" applyBorder="1" applyAlignment="1">
      <alignment wrapText="1"/>
    </xf>
    <xf numFmtId="0" fontId="10" fillId="0" borderId="11" xfId="1" applyFont="1" applyBorder="1" applyAlignment="1">
      <alignment wrapText="1"/>
    </xf>
    <xf numFmtId="0" fontId="10" fillId="0" borderId="12" xfId="1" applyFont="1" applyBorder="1" applyAlignment="1">
      <alignment wrapText="1"/>
    </xf>
    <xf numFmtId="0" fontId="6" fillId="0" borderId="9" xfId="1" applyFont="1" applyBorder="1" applyAlignment="1">
      <alignment wrapText="1"/>
    </xf>
    <xf numFmtId="0" fontId="6" fillId="0" borderId="0" xfId="1" applyFont="1" applyBorder="1" applyAlignment="1">
      <alignment wrapText="1"/>
    </xf>
    <xf numFmtId="0" fontId="6" fillId="0" borderId="13" xfId="1" applyFont="1" applyBorder="1" applyAlignment="1">
      <alignment wrapText="1"/>
    </xf>
    <xf numFmtId="0" fontId="6" fillId="0" borderId="14" xfId="1" applyFont="1" applyFill="1" applyBorder="1" applyAlignment="1">
      <alignment wrapText="1"/>
    </xf>
    <xf numFmtId="0" fontId="6" fillId="0" borderId="15" xfId="1" applyFont="1" applyFill="1" applyBorder="1" applyAlignment="1">
      <alignment wrapText="1"/>
    </xf>
    <xf numFmtId="0" fontId="6" fillId="0" borderId="16" xfId="1" applyFont="1" applyFill="1" applyBorder="1" applyAlignment="1">
      <alignment wrapText="1"/>
    </xf>
    <xf numFmtId="0" fontId="6" fillId="0" borderId="0" xfId="1" applyFont="1" applyFill="1" applyBorder="1" applyAlignment="1">
      <alignment wrapText="1"/>
    </xf>
    <xf numFmtId="0" fontId="10" fillId="0" borderId="0" xfId="1" applyFont="1" applyAlignment="1"/>
    <xf numFmtId="0" fontId="8" fillId="0" borderId="0" xfId="1" applyFont="1" applyAlignment="1">
      <alignment horizontal="center"/>
    </xf>
    <xf numFmtId="0" fontId="6" fillId="5" borderId="0" xfId="1" applyFont="1" applyFill="1" applyAlignment="1">
      <alignment horizontal="center"/>
    </xf>
    <xf numFmtId="0" fontId="6" fillId="0" borderId="0" xfId="1" applyFont="1" applyAlignment="1">
      <alignment horizontal="center" wrapText="1"/>
    </xf>
    <xf numFmtId="0" fontId="6" fillId="3" borderId="4" xfId="1" applyFont="1" applyFill="1" applyBorder="1" applyAlignment="1">
      <alignment horizontal="center" wrapText="1"/>
    </xf>
    <xf numFmtId="0" fontId="6" fillId="3" borderId="5" xfId="1" applyFont="1" applyFill="1" applyBorder="1" applyAlignment="1">
      <alignment horizontal="center" wrapText="1"/>
    </xf>
    <xf numFmtId="0" fontId="6" fillId="3" borderId="6" xfId="1" applyFont="1" applyFill="1" applyBorder="1" applyAlignment="1">
      <alignment horizontal="center" wrapText="1"/>
    </xf>
    <xf numFmtId="0" fontId="6" fillId="3" borderId="24" xfId="1" applyFont="1" applyFill="1" applyBorder="1" applyAlignment="1">
      <alignment horizontal="center" wrapText="1"/>
    </xf>
    <xf numFmtId="0" fontId="6" fillId="3" borderId="4" xfId="1" applyFont="1" applyFill="1" applyBorder="1" applyAlignment="1">
      <alignment horizontal="center" wrapText="1"/>
    </xf>
    <xf numFmtId="0" fontId="6" fillId="3" borderId="5" xfId="1" applyFont="1" applyFill="1" applyBorder="1" applyAlignment="1">
      <alignment horizontal="center" wrapText="1"/>
    </xf>
    <xf numFmtId="0" fontId="6" fillId="3" borderId="6" xfId="1" applyFont="1" applyFill="1" applyBorder="1" applyAlignment="1">
      <alignment horizontal="center" wrapText="1"/>
    </xf>
    <xf numFmtId="0" fontId="13" fillId="3" borderId="4" xfId="1" applyFont="1" applyFill="1" applyBorder="1" applyAlignment="1">
      <alignment horizontal="left" vertical="top" wrapText="1"/>
    </xf>
    <xf numFmtId="0" fontId="13" fillId="3" borderId="5" xfId="1" applyFont="1" applyFill="1" applyBorder="1" applyAlignment="1">
      <alignment horizontal="left" vertical="top" wrapText="1"/>
    </xf>
    <xf numFmtId="0" fontId="13" fillId="3" borderId="6" xfId="1" applyFont="1" applyFill="1" applyBorder="1" applyAlignment="1">
      <alignment horizontal="left" vertical="top" wrapText="1"/>
    </xf>
    <xf numFmtId="0" fontId="13" fillId="3" borderId="23" xfId="1" applyFont="1" applyFill="1" applyBorder="1" applyAlignment="1">
      <alignment horizontal="center" vertical="top" wrapText="1"/>
    </xf>
    <xf numFmtId="0" fontId="14" fillId="2" borderId="3" xfId="1" applyFont="1" applyFill="1" applyBorder="1" applyAlignment="1">
      <alignment wrapText="1"/>
    </xf>
    <xf numFmtId="0" fontId="14" fillId="2" borderId="3" xfId="1" applyFont="1" applyFill="1" applyBorder="1" applyAlignment="1">
      <alignment horizontal="left" wrapText="1"/>
    </xf>
    <xf numFmtId="0" fontId="14" fillId="2" borderId="4" xfId="1" applyFont="1" applyFill="1" applyBorder="1" applyAlignment="1">
      <alignment wrapText="1"/>
    </xf>
    <xf numFmtId="0" fontId="14" fillId="2" borderId="4" xfId="1" applyFont="1" applyFill="1" applyBorder="1" applyAlignment="1">
      <alignment horizontal="left" wrapText="1"/>
    </xf>
    <xf numFmtId="0" fontId="14" fillId="2" borderId="5" xfId="1" applyFont="1" applyFill="1" applyBorder="1" applyAlignment="1">
      <alignment horizontal="left" wrapText="1"/>
    </xf>
    <xf numFmtId="0" fontId="14" fillId="2" borderId="6" xfId="1" applyFont="1" applyFill="1" applyBorder="1" applyAlignment="1">
      <alignment horizontal="left" wrapText="1"/>
    </xf>
    <xf numFmtId="0" fontId="6" fillId="0" borderId="22" xfId="1" applyFont="1" applyBorder="1" applyAlignment="1">
      <alignment horizontal="center" vertical="center" wrapText="1"/>
    </xf>
    <xf numFmtId="0" fontId="6" fillId="0" borderId="1" xfId="1" applyFont="1" applyBorder="1" applyAlignment="1">
      <alignment horizontal="center" vertical="center" wrapText="1"/>
    </xf>
    <xf numFmtId="0" fontId="6" fillId="0" borderId="2" xfId="1" applyFont="1" applyBorder="1" applyAlignment="1">
      <alignment vertical="top" wrapText="1"/>
    </xf>
    <xf numFmtId="0" fontId="15" fillId="0" borderId="2" xfId="1" applyFont="1" applyBorder="1" applyAlignment="1">
      <alignment vertical="top" wrapText="1"/>
    </xf>
    <xf numFmtId="0" fontId="6" fillId="0" borderId="2" xfId="1" applyFont="1" applyBorder="1" applyAlignment="1">
      <alignment vertical="top"/>
    </xf>
    <xf numFmtId="0" fontId="6" fillId="0" borderId="1" xfId="1" applyFont="1" applyBorder="1" applyAlignment="1">
      <alignment wrapText="1"/>
    </xf>
    <xf numFmtId="0" fontId="6" fillId="0" borderId="1" xfId="1" applyFont="1" applyBorder="1"/>
    <xf numFmtId="0" fontId="6" fillId="0" borderId="2" xfId="1" applyFont="1" applyBorder="1" applyAlignment="1">
      <alignment horizontal="center" vertical="center" wrapText="1"/>
    </xf>
    <xf numFmtId="0" fontId="6" fillId="0" borderId="18" xfId="1" applyFont="1" applyBorder="1" applyAlignment="1">
      <alignment vertical="top" wrapText="1"/>
    </xf>
    <xf numFmtId="0" fontId="15" fillId="0" borderId="19" xfId="1" applyFont="1" applyBorder="1" applyAlignment="1">
      <alignment vertical="top" wrapText="1"/>
    </xf>
    <xf numFmtId="0" fontId="15" fillId="0" borderId="18" xfId="1" applyFont="1" applyBorder="1" applyAlignment="1">
      <alignment vertical="top" wrapText="1"/>
    </xf>
    <xf numFmtId="0" fontId="6" fillId="0" borderId="18" xfId="1" applyFont="1" applyBorder="1" applyAlignment="1">
      <alignment vertical="top"/>
    </xf>
    <xf numFmtId="0" fontId="6" fillId="0" borderId="7" xfId="1" applyFont="1" applyBorder="1" applyAlignment="1">
      <alignment horizontal="center" vertical="center" wrapText="1"/>
    </xf>
    <xf numFmtId="0" fontId="6" fillId="0" borderId="8" xfId="1" applyFont="1" applyBorder="1" applyAlignment="1">
      <alignment horizontal="center" vertical="center" wrapText="1"/>
    </xf>
    <xf numFmtId="0" fontId="6" fillId="0" borderId="1" xfId="1" applyFont="1" applyBorder="1" applyAlignment="1">
      <alignment vertical="top" wrapText="1"/>
    </xf>
    <xf numFmtId="0" fontId="6" fillId="0" borderId="17" xfId="1" applyFont="1" applyBorder="1" applyAlignment="1">
      <alignment vertical="top" wrapText="1"/>
    </xf>
    <xf numFmtId="0" fontId="16" fillId="0" borderId="2" xfId="1" applyFont="1" applyBorder="1" applyAlignment="1">
      <alignment vertical="top" wrapText="1"/>
    </xf>
    <xf numFmtId="0" fontId="17" fillId="0" borderId="2" xfId="1" applyFont="1" applyBorder="1" applyAlignment="1">
      <alignment vertical="top"/>
    </xf>
    <xf numFmtId="0" fontId="17" fillId="0" borderId="2" xfId="1" applyFont="1" applyBorder="1" applyAlignment="1">
      <alignment vertical="top" wrapText="1"/>
    </xf>
    <xf numFmtId="0" fontId="7" fillId="0" borderId="7" xfId="1" applyFont="1" applyBorder="1" applyAlignment="1">
      <alignment horizontal="center" vertical="center" wrapText="1"/>
    </xf>
    <xf numFmtId="16" fontId="6" fillId="0" borderId="1" xfId="1" applyNumberFormat="1" applyFont="1" applyFill="1" applyBorder="1" applyAlignment="1">
      <alignment horizontal="center" vertical="center" wrapText="1"/>
    </xf>
    <xf numFmtId="0" fontId="7" fillId="0" borderId="2" xfId="1" applyFont="1" applyBorder="1" applyAlignment="1">
      <alignment horizontal="center" vertical="center" wrapText="1"/>
    </xf>
    <xf numFmtId="0" fontId="15" fillId="0" borderId="8" xfId="1" applyFont="1" applyBorder="1" applyAlignment="1">
      <alignment vertical="top" wrapText="1"/>
    </xf>
    <xf numFmtId="0" fontId="6" fillId="0" borderId="1" xfId="1" applyNumberFormat="1" applyFont="1" applyFill="1" applyBorder="1" applyAlignment="1">
      <alignment horizontal="center" vertical="center" wrapText="1"/>
    </xf>
    <xf numFmtId="16" fontId="6" fillId="0" borderId="1" xfId="1" applyNumberFormat="1" applyFont="1" applyFill="1" applyBorder="1" applyAlignment="1">
      <alignment horizontal="center" vertical="center" wrapText="1"/>
    </xf>
    <xf numFmtId="0" fontId="6" fillId="0" borderId="20" xfId="1" applyFont="1" applyBorder="1" applyAlignment="1">
      <alignment vertical="top" wrapText="1"/>
    </xf>
    <xf numFmtId="0" fontId="15" fillId="0" borderId="20" xfId="1" applyFont="1" applyBorder="1" applyAlignment="1">
      <alignment vertical="top" wrapText="1"/>
    </xf>
    <xf numFmtId="0" fontId="6" fillId="0" borderId="20" xfId="1" applyFont="1" applyBorder="1" applyAlignment="1">
      <alignment vertical="top"/>
    </xf>
    <xf numFmtId="0" fontId="6" fillId="0" borderId="1" xfId="1" applyFont="1" applyBorder="1" applyAlignment="1">
      <alignment horizontal="center" vertical="center" wrapText="1"/>
    </xf>
    <xf numFmtId="0" fontId="6" fillId="0" borderId="16" xfId="1" applyFont="1" applyBorder="1" applyAlignment="1">
      <alignment vertical="top"/>
    </xf>
    <xf numFmtId="0" fontId="6" fillId="4" borderId="21" xfId="1" applyFont="1" applyFill="1" applyBorder="1" applyAlignment="1">
      <alignment wrapText="1"/>
    </xf>
    <xf numFmtId="0" fontId="15" fillId="3" borderId="21" xfId="1" applyFont="1" applyFill="1" applyBorder="1" applyAlignment="1">
      <alignment wrapText="1"/>
    </xf>
    <xf numFmtId="0" fontId="15" fillId="0" borderId="17" xfId="1" applyFont="1" applyBorder="1" applyAlignment="1">
      <alignment vertical="top" wrapText="1"/>
    </xf>
    <xf numFmtId="0" fontId="6" fillId="0" borderId="2" xfId="1" applyFont="1" applyBorder="1"/>
    <xf numFmtId="0" fontId="6" fillId="4" borderId="1" xfId="1" applyFont="1" applyFill="1" applyBorder="1" applyAlignment="1">
      <alignment vertical="top" wrapText="1"/>
    </xf>
    <xf numFmtId="0" fontId="6" fillId="4" borderId="0" xfId="1" applyFont="1" applyFill="1" applyBorder="1" applyAlignment="1">
      <alignment wrapText="1"/>
    </xf>
    <xf numFmtId="0" fontId="15" fillId="3" borderId="0" xfId="1" applyFont="1" applyFill="1" applyBorder="1" applyAlignment="1">
      <alignment wrapText="1"/>
    </xf>
    <xf numFmtId="0" fontId="6" fillId="4" borderId="1" xfId="1" applyFont="1" applyFill="1" applyBorder="1" applyAlignment="1">
      <alignment wrapText="1"/>
    </xf>
    <xf numFmtId="0" fontId="15" fillId="3" borderId="2" xfId="1" applyFont="1" applyFill="1" applyBorder="1" applyAlignment="1">
      <alignment wrapText="1"/>
    </xf>
    <xf numFmtId="0" fontId="6" fillId="0" borderId="17" xfId="1" applyFont="1" applyBorder="1"/>
    <xf numFmtId="0" fontId="6" fillId="0" borderId="19" xfId="1" applyFont="1" applyBorder="1"/>
    <xf numFmtId="0" fontId="6" fillId="0" borderId="28" xfId="1" applyFont="1" applyBorder="1" applyAlignment="1">
      <alignment horizontal="center" vertical="center" wrapText="1"/>
    </xf>
    <xf numFmtId="0" fontId="6" fillId="9" borderId="27" xfId="1" applyFont="1" applyFill="1" applyBorder="1" applyAlignment="1">
      <alignment vertical="top" wrapText="1"/>
    </xf>
    <xf numFmtId="0" fontId="6" fillId="9" borderId="30" xfId="1" applyFont="1" applyFill="1" applyBorder="1" applyAlignment="1">
      <alignment vertical="top" wrapText="1"/>
    </xf>
    <xf numFmtId="0" fontId="6" fillId="9" borderId="31" xfId="1" applyFont="1" applyFill="1" applyBorder="1" applyAlignment="1">
      <alignment vertical="top" wrapText="1"/>
    </xf>
    <xf numFmtId="0" fontId="6" fillId="9" borderId="26" xfId="1" applyFont="1" applyFill="1" applyBorder="1" applyAlignment="1">
      <alignment vertical="top" wrapText="1"/>
    </xf>
    <xf numFmtId="0" fontId="6" fillId="9" borderId="32" xfId="1" applyFont="1" applyFill="1" applyBorder="1" applyAlignment="1">
      <alignment vertical="top" wrapText="1"/>
    </xf>
    <xf numFmtId="0" fontId="18" fillId="6" borderId="25" xfId="1" applyNumberFormat="1" applyFont="1" applyFill="1" applyBorder="1" applyAlignment="1">
      <alignment horizontal="center"/>
    </xf>
    <xf numFmtId="0" fontId="6" fillId="0" borderId="0" xfId="0" applyFont="1" applyAlignment="1">
      <alignment horizontal="left" vertical="center" indent="1"/>
    </xf>
    <xf numFmtId="0" fontId="19" fillId="0" borderId="0" xfId="0" applyFont="1" applyAlignment="1">
      <alignment horizontal="left" vertical="center" indent="1"/>
    </xf>
    <xf numFmtId="0" fontId="13" fillId="3" borderId="6" xfId="1" applyFont="1" applyFill="1" applyBorder="1" applyAlignment="1">
      <alignment horizontal="center" vertical="top" wrapText="1"/>
    </xf>
    <xf numFmtId="0" fontId="6" fillId="8" borderId="17" xfId="1" applyFont="1" applyFill="1" applyBorder="1" applyAlignment="1">
      <alignment vertical="top" wrapText="1"/>
    </xf>
    <xf numFmtId="0" fontId="6" fillId="0" borderId="2" xfId="1" applyFont="1" applyBorder="1" applyAlignment="1">
      <alignment wrapText="1"/>
    </xf>
    <xf numFmtId="0" fontId="6" fillId="7" borderId="1" xfId="1" applyFont="1" applyFill="1" applyBorder="1" applyAlignment="1">
      <alignment vertical="top" wrapText="1"/>
    </xf>
    <xf numFmtId="0" fontId="6" fillId="7" borderId="2" xfId="1" applyFont="1" applyFill="1" applyBorder="1" applyAlignment="1">
      <alignment vertical="top" wrapText="1"/>
    </xf>
    <xf numFmtId="0" fontId="6" fillId="8" borderId="1" xfId="1" applyFont="1" applyFill="1" applyBorder="1" applyAlignment="1">
      <alignment vertical="top" wrapText="1"/>
    </xf>
    <xf numFmtId="0" fontId="6" fillId="7" borderId="18" xfId="1" applyFont="1" applyFill="1" applyBorder="1" applyAlignment="1">
      <alignment vertical="top" wrapText="1"/>
    </xf>
    <xf numFmtId="0" fontId="7" fillId="0" borderId="1" xfId="1" applyFont="1" applyBorder="1" applyAlignment="1">
      <alignment horizontal="center" vertical="center" wrapText="1"/>
    </xf>
    <xf numFmtId="0" fontId="6" fillId="0" borderId="1" xfId="1" applyNumberFormat="1" applyFont="1" applyFill="1" applyBorder="1" applyAlignment="1">
      <alignment horizontal="center" vertical="center" wrapText="1"/>
    </xf>
    <xf numFmtId="0" fontId="6" fillId="0" borderId="0" xfId="1" applyFont="1" applyBorder="1" applyAlignment="1">
      <alignment vertical="top" wrapText="1"/>
    </xf>
    <xf numFmtId="0" fontId="6" fillId="0" borderId="27" xfId="1" applyFont="1" applyBorder="1" applyAlignment="1">
      <alignment vertical="top" wrapText="1"/>
    </xf>
    <xf numFmtId="0" fontId="6" fillId="0" borderId="29" xfId="1" applyFont="1" applyBorder="1"/>
    <xf numFmtId="0" fontId="6" fillId="0" borderId="30" xfId="1" applyFont="1" applyBorder="1" applyAlignment="1">
      <alignment vertical="top" wrapText="1"/>
    </xf>
    <xf numFmtId="0" fontId="6" fillId="0" borderId="16" xfId="1" applyFont="1" applyBorder="1"/>
    <xf numFmtId="0" fontId="6" fillId="0" borderId="31" xfId="1" applyFont="1" applyBorder="1" applyAlignment="1">
      <alignment vertical="top" wrapText="1"/>
    </xf>
    <xf numFmtId="0" fontId="6" fillId="0" borderId="26" xfId="1" applyFont="1" applyBorder="1" applyAlignment="1">
      <alignment vertical="top" wrapText="1"/>
    </xf>
    <xf numFmtId="0" fontId="6" fillId="0" borderId="32" xfId="1" applyFont="1" applyBorder="1" applyAlignment="1">
      <alignment vertical="top" wrapText="1"/>
    </xf>
    <xf numFmtId="0" fontId="6" fillId="8" borderId="30" xfId="1" applyFont="1" applyFill="1" applyBorder="1" applyAlignment="1">
      <alignment vertical="top" wrapText="1"/>
    </xf>
  </cellXfs>
  <cellStyles count="5">
    <cellStyle name="Excel Built-in Normal" xfId="3" xr:uid="{00000000-0005-0000-0000-000000000000}"/>
    <cellStyle name="Normal" xfId="0" builtinId="0"/>
    <cellStyle name="Normal 2" xfId="1" xr:uid="{00000000-0005-0000-0000-000001000000}"/>
    <cellStyle name="Normal 3" xfId="2" xr:uid="{00000000-0005-0000-0000-000002000000}"/>
    <cellStyle name="Normal 4" xfId="4" xr:uid="{00000000-0005-0000-0000-000003000000}"/>
  </cellStyles>
  <dxfs count="225">
    <dxf>
      <font>
        <strike val="0"/>
        <outline val="0"/>
        <shadow val="0"/>
        <vertAlign val="baseline"/>
        <name val="Cambria"/>
        <family val="1"/>
        <scheme val="none"/>
      </font>
    </dxf>
    <dxf>
      <font>
        <strike val="0"/>
        <outline val="0"/>
        <shadow val="0"/>
        <vertAlign val="baseline"/>
        <name val="Cambria"/>
        <family val="1"/>
        <scheme val="none"/>
      </font>
    </dxf>
    <dxf>
      <font>
        <strike val="0"/>
        <outline val="0"/>
        <shadow val="0"/>
        <vertAlign val="baseline"/>
        <name val="Cambria"/>
        <family val="1"/>
        <scheme val="none"/>
      </font>
      <alignment horizontal="general" vertical="bottom" textRotation="0" wrapText="1" indent="0" justifyLastLine="0" shrinkToFit="0" readingOrder="0"/>
    </dxf>
    <dxf>
      <font>
        <strike val="0"/>
        <outline val="0"/>
        <shadow val="0"/>
        <vertAlign val="baseline"/>
        <name val="Cambria"/>
        <family val="1"/>
        <scheme val="none"/>
      </font>
      <alignment horizontal="center" vertical="bottom" textRotation="0" wrapText="1" indent="0" justifyLastLine="0" shrinkToFit="0" readingOrder="0"/>
    </dxf>
    <dxf>
      <font>
        <b val="0"/>
        <i val="0"/>
        <strike val="0"/>
        <condense val="0"/>
        <extend val="0"/>
        <outline val="0"/>
        <shadow val="0"/>
        <u val="none"/>
        <vertAlign val="baseline"/>
        <sz val="10"/>
        <color auto="1"/>
        <name val="Cambria"/>
        <family val="1"/>
        <scheme val="none"/>
      </font>
      <fill>
        <patternFill patternType="solid">
          <fgColor indexed="64"/>
          <bgColor theme="0" tint="-4.9989318521683403E-2"/>
        </patternFill>
      </fill>
      <alignment horizontal="center" vertical="bottom" textRotation="0" wrapText="0" indent="0" justifyLastLine="0" shrinkToFit="0" readingOrder="0"/>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24994659260841701"/>
        </patternFill>
      </fill>
    </dxf>
    <dxf>
      <font>
        <color theme="1"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1"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theme="1"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600075</xdr:colOff>
          <xdr:row>1</xdr:row>
          <xdr:rowOff>0</xdr:rowOff>
        </xdr:from>
        <xdr:to>
          <xdr:col>9</xdr:col>
          <xdr:colOff>104775</xdr:colOff>
          <xdr:row>22</xdr:row>
          <xdr:rowOff>133350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2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0</xdr:rowOff>
        </xdr:from>
        <xdr:to>
          <xdr:col>9</xdr:col>
          <xdr:colOff>57150</xdr:colOff>
          <xdr:row>46</xdr:row>
          <xdr:rowOff>9525</xdr:rowOff>
        </xdr:to>
        <xdr:sp macro="" textlink="">
          <xdr:nvSpPr>
            <xdr:cNvPr id="21507" name="Object 3" hidden="1">
              <a:extLst>
                <a:ext uri="{63B3BB69-23CF-44E3-9099-C40C66FF867C}">
                  <a14:compatExt spid="_x0000_s21507"/>
                </a:ext>
                <a:ext uri="{FF2B5EF4-FFF2-40B4-BE49-F238E27FC236}">
                  <a16:creationId xmlns:a16="http://schemas.microsoft.com/office/drawing/2014/main" id="{00000000-0008-0000-0200-000003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C12:E19" totalsRowShown="0" headerRowDxfId="1" dataDxfId="0">
  <autoFilter ref="C12:E19" xr:uid="{00000000-0009-0000-0100-000001000000}"/>
  <tableColumns count="3">
    <tableColumn id="1" xr3:uid="{00000000-0010-0000-0000-000001000000}" name="Chapter " dataDxfId="4" dataCellStyle="Normal 2"/>
    <tableColumn id="2" xr3:uid="{00000000-0010-0000-0000-000002000000}" name="Target Security Level" dataDxfId="3" dataCellStyle="Normal 2"/>
    <tableColumn id="3" xr3:uid="{00000000-0010-0000-0000-000003000000}" name="Security Level Rationale:" dataDxfId="2"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vmlDrawing" Target="../drawings/vmlDrawing3.vml"/><Relationship Id="rId7" Type="http://schemas.openxmlformats.org/officeDocument/2006/relationships/oleObject" Target="../embeddings/Microsoft_Visio_2003-2010_Drawing1.vsd"/><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image" Target="../media/image2.emf"/><Relationship Id="rId5" Type="http://schemas.openxmlformats.org/officeDocument/2006/relationships/oleObject" Target="../embeddings/Microsoft_Visio_2003-2010_Drawing.vsd"/><Relationship Id="rId4"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02"/>
  <sheetViews>
    <sheetView tabSelected="1" zoomScaleNormal="100" workbookViewId="0"/>
  </sheetViews>
  <sheetFormatPr defaultColWidth="9.140625" defaultRowHeight="12.75" x14ac:dyDescent="0.2"/>
  <cols>
    <col min="1" max="1" width="9.140625" style="2"/>
    <col min="2" max="2" width="17.7109375" style="2" customWidth="1"/>
    <col min="3" max="3" width="14.42578125" style="2" customWidth="1"/>
    <col min="4" max="4" width="27" style="2" customWidth="1"/>
    <col min="5" max="5" width="59" style="2" bestFit="1" customWidth="1"/>
    <col min="6" max="6" width="18.7109375" style="3" customWidth="1"/>
    <col min="7" max="8" width="18.7109375" style="4" customWidth="1"/>
    <col min="9" max="9" width="49.28515625" style="4" hidden="1" customWidth="1"/>
    <col min="10" max="10" width="45.42578125" style="4" customWidth="1"/>
    <col min="11" max="11" width="26.140625" style="2" customWidth="1"/>
    <col min="12" max="12" width="1" style="4" hidden="1" customWidth="1"/>
    <col min="13" max="13" width="115.28515625" style="4" customWidth="1"/>
    <col min="14" max="14" width="9.140625" style="6"/>
    <col min="15" max="20" width="9.140625" style="4"/>
    <col min="21" max="21" width="48.28515625" style="7" customWidth="1"/>
    <col min="22" max="16384" width="9.140625" style="4"/>
  </cols>
  <sheetData>
    <row r="1" spans="1:21" s="18" customFormat="1" ht="20.25" x14ac:dyDescent="0.3">
      <c r="A1" s="15"/>
      <c r="B1" s="15"/>
      <c r="C1" s="16" t="s">
        <v>345</v>
      </c>
      <c r="D1" s="15"/>
      <c r="E1" s="15"/>
      <c r="F1" s="17"/>
      <c r="K1" s="15"/>
      <c r="N1" s="19"/>
      <c r="U1" s="20"/>
    </row>
    <row r="2" spans="1:21" s="18" customFormat="1" ht="20.25" x14ac:dyDescent="0.3">
      <c r="A2" s="15"/>
      <c r="B2" s="15"/>
      <c r="C2" s="16"/>
      <c r="D2" s="15"/>
      <c r="E2" s="15"/>
      <c r="F2" s="17"/>
      <c r="K2" s="15"/>
      <c r="N2" s="19"/>
      <c r="U2" s="20"/>
    </row>
    <row r="3" spans="1:21" s="18" customFormat="1" ht="25.5" customHeight="1" x14ac:dyDescent="0.2">
      <c r="A3" s="15"/>
      <c r="B3" s="15"/>
      <c r="C3" s="21" t="s">
        <v>240</v>
      </c>
      <c r="D3" s="22"/>
      <c r="E3" s="22"/>
      <c r="F3" s="22"/>
      <c r="G3" s="22"/>
      <c r="H3" s="22"/>
      <c r="I3" s="22"/>
      <c r="J3" s="22"/>
      <c r="K3" s="22"/>
      <c r="L3" s="23"/>
      <c r="N3" s="19"/>
      <c r="U3" s="20"/>
    </row>
    <row r="4" spans="1:21" s="18" customFormat="1" ht="12.75" customHeight="1" x14ac:dyDescent="0.2">
      <c r="A4" s="15"/>
      <c r="B4" s="15"/>
      <c r="C4" s="24" t="s">
        <v>437</v>
      </c>
      <c r="D4" s="25"/>
      <c r="E4" s="25"/>
      <c r="F4" s="25"/>
      <c r="G4" s="25"/>
      <c r="H4" s="25"/>
      <c r="I4" s="25"/>
      <c r="J4" s="25"/>
      <c r="K4" s="25"/>
      <c r="L4" s="26"/>
      <c r="N4" s="19"/>
      <c r="U4" s="20"/>
    </row>
    <row r="5" spans="1:21" s="18" customFormat="1" ht="12.75" customHeight="1" x14ac:dyDescent="0.2">
      <c r="A5" s="15"/>
      <c r="B5" s="15"/>
      <c r="C5" s="24" t="s">
        <v>241</v>
      </c>
      <c r="D5" s="25"/>
      <c r="E5" s="25"/>
      <c r="F5" s="25"/>
      <c r="G5" s="25"/>
      <c r="H5" s="25"/>
      <c r="I5" s="25"/>
      <c r="J5" s="25"/>
      <c r="K5" s="25"/>
      <c r="L5" s="26"/>
      <c r="N5" s="19"/>
      <c r="U5" s="20"/>
    </row>
    <row r="6" spans="1:21" s="18" customFormat="1" ht="12.75" customHeight="1" x14ac:dyDescent="0.2">
      <c r="A6" s="15"/>
      <c r="B6" s="15"/>
      <c r="C6" s="24" t="s">
        <v>443</v>
      </c>
      <c r="D6" s="25"/>
      <c r="E6" s="25"/>
      <c r="F6" s="25"/>
      <c r="G6" s="25"/>
      <c r="H6" s="25"/>
      <c r="I6" s="25"/>
      <c r="J6" s="25"/>
      <c r="K6" s="25"/>
      <c r="L6" s="26"/>
      <c r="N6" s="19"/>
      <c r="U6" s="20"/>
    </row>
    <row r="7" spans="1:21" s="18" customFormat="1" ht="27.75" customHeight="1" x14ac:dyDescent="0.2">
      <c r="A7" s="15"/>
      <c r="B7" s="15"/>
      <c r="C7" s="24" t="s">
        <v>438</v>
      </c>
      <c r="D7" s="25"/>
      <c r="E7" s="25"/>
      <c r="F7" s="25"/>
      <c r="G7" s="25"/>
      <c r="H7" s="25"/>
      <c r="I7" s="25"/>
      <c r="J7" s="25"/>
      <c r="K7" s="25"/>
      <c r="L7" s="26"/>
      <c r="N7" s="19"/>
      <c r="U7" s="20"/>
    </row>
    <row r="8" spans="1:21" s="18" customFormat="1" ht="12.75" customHeight="1" x14ac:dyDescent="0.2">
      <c r="A8" s="15"/>
      <c r="B8" s="15"/>
      <c r="C8" s="24" t="s">
        <v>300</v>
      </c>
      <c r="D8" s="25"/>
      <c r="E8" s="25"/>
      <c r="F8" s="25"/>
      <c r="G8" s="25"/>
      <c r="H8" s="25"/>
      <c r="I8" s="25"/>
      <c r="J8" s="25"/>
      <c r="K8" s="25"/>
      <c r="L8" s="26"/>
      <c r="N8" s="19"/>
      <c r="U8" s="20"/>
    </row>
    <row r="9" spans="1:21" s="18" customFormat="1" ht="12.75" customHeight="1" x14ac:dyDescent="0.2">
      <c r="A9" s="15"/>
      <c r="B9" s="15"/>
      <c r="C9" s="27" t="s">
        <v>435</v>
      </c>
      <c r="D9" s="28"/>
      <c r="E9" s="28"/>
      <c r="F9" s="28"/>
      <c r="G9" s="28"/>
      <c r="H9" s="28"/>
      <c r="I9" s="28"/>
      <c r="J9" s="28"/>
      <c r="K9" s="28"/>
      <c r="L9" s="29"/>
      <c r="N9" s="19"/>
      <c r="U9" s="20"/>
    </row>
    <row r="10" spans="1:21" s="18" customFormat="1" ht="20.25" x14ac:dyDescent="0.3">
      <c r="A10" s="15"/>
      <c r="B10" s="15"/>
      <c r="C10" s="16"/>
      <c r="D10" s="15"/>
      <c r="E10" s="15"/>
      <c r="F10" s="17"/>
      <c r="K10" s="15"/>
      <c r="N10" s="19"/>
      <c r="U10" s="20"/>
    </row>
    <row r="11" spans="1:21" s="18" customFormat="1" x14ac:dyDescent="0.2">
      <c r="A11" s="15"/>
      <c r="B11" s="15"/>
      <c r="C11" s="31" t="s">
        <v>369</v>
      </c>
      <c r="D11" s="15"/>
      <c r="E11" s="15"/>
      <c r="F11" s="17"/>
      <c r="K11" s="15"/>
      <c r="M11" s="15" t="s">
        <v>366</v>
      </c>
      <c r="N11" s="19"/>
      <c r="U11" s="20"/>
    </row>
    <row r="12" spans="1:21" s="18" customFormat="1" x14ac:dyDescent="0.2">
      <c r="A12" s="15"/>
      <c r="B12" s="15"/>
      <c r="D12" s="99" t="s">
        <v>374</v>
      </c>
      <c r="E12" s="99" t="s">
        <v>370</v>
      </c>
      <c r="F12" s="17"/>
      <c r="K12" s="15"/>
      <c r="M12" s="15" t="s">
        <v>367</v>
      </c>
      <c r="N12" s="19"/>
      <c r="U12" s="20"/>
    </row>
    <row r="13" spans="1:21" s="18" customFormat="1" x14ac:dyDescent="0.2">
      <c r="A13" s="15"/>
      <c r="B13" s="15"/>
      <c r="C13" s="18" t="s">
        <v>371</v>
      </c>
      <c r="D13" s="15" t="s">
        <v>368</v>
      </c>
      <c r="E13" s="11" t="str">
        <f>IF(COUNTIF(D13:D15,"Low")=3,"Low",IF(COUNTIF(D13:D15,"High")=1,"High","Moderate"))</f>
        <v>High</v>
      </c>
      <c r="F13" s="17"/>
      <c r="K13" s="15"/>
      <c r="M13" s="15" t="s">
        <v>368</v>
      </c>
      <c r="N13" s="19"/>
      <c r="U13" s="20"/>
    </row>
    <row r="14" spans="1:21" s="18" customFormat="1" x14ac:dyDescent="0.2">
      <c r="A14" s="15"/>
      <c r="B14" s="15"/>
      <c r="C14" s="18" t="s">
        <v>372</v>
      </c>
      <c r="D14" s="15" t="s">
        <v>367</v>
      </c>
      <c r="E14" s="100"/>
      <c r="F14" s="17"/>
      <c r="K14" s="15"/>
      <c r="N14" s="19"/>
      <c r="U14" s="20"/>
    </row>
    <row r="15" spans="1:21" s="18" customFormat="1" x14ac:dyDescent="0.2">
      <c r="A15" s="15"/>
      <c r="B15" s="15"/>
      <c r="C15" s="18" t="s">
        <v>373</v>
      </c>
      <c r="D15" s="15" t="s">
        <v>366</v>
      </c>
      <c r="E15" s="100"/>
      <c r="F15" s="17"/>
      <c r="K15" s="15"/>
      <c r="N15" s="19"/>
      <c r="U15" s="20"/>
    </row>
    <row r="16" spans="1:21" s="18" customFormat="1" ht="20.25" x14ac:dyDescent="0.3">
      <c r="A16" s="15"/>
      <c r="B16" s="15"/>
      <c r="C16" s="16"/>
      <c r="D16" s="15"/>
      <c r="E16" s="101" t="str">
        <f>IF(ISNUMBER(SEARCH(substring,text)), "Yes", "No")</f>
        <v>No</v>
      </c>
      <c r="F16" s="17"/>
      <c r="K16" s="15"/>
      <c r="N16" s="19"/>
      <c r="U16" s="20"/>
    </row>
    <row r="17" spans="1:21" s="18" customFormat="1" ht="13.5" thickBot="1" x14ac:dyDescent="0.25">
      <c r="A17" s="15"/>
      <c r="B17" s="15"/>
      <c r="C17" s="15"/>
      <c r="D17" s="15"/>
      <c r="E17" s="15"/>
      <c r="F17" s="17"/>
      <c r="K17" s="15"/>
      <c r="N17" s="19"/>
      <c r="U17" s="20"/>
    </row>
    <row r="18" spans="1:21" s="18" customFormat="1" ht="13.5" thickBot="1" x14ac:dyDescent="0.25">
      <c r="A18" s="15"/>
      <c r="B18" s="35" t="s">
        <v>267</v>
      </c>
      <c r="C18" s="36"/>
      <c r="D18" s="37"/>
      <c r="E18" s="35" t="s">
        <v>268</v>
      </c>
      <c r="F18" s="36"/>
      <c r="G18" s="36"/>
      <c r="H18" s="36"/>
      <c r="I18" s="36"/>
      <c r="J18" s="36"/>
      <c r="K18" s="37"/>
      <c r="N18" s="19"/>
      <c r="U18" s="20"/>
    </row>
    <row r="19" spans="1:21" s="18" customFormat="1" ht="53.25" hidden="1" customHeight="1" thickBot="1" x14ac:dyDescent="0.25">
      <c r="A19" s="15"/>
      <c r="B19" s="39"/>
      <c r="C19" s="40"/>
      <c r="D19" s="41"/>
      <c r="E19" s="42" t="s">
        <v>340</v>
      </c>
      <c r="F19" s="43"/>
      <c r="G19" s="43"/>
      <c r="H19" s="43"/>
      <c r="I19" s="43"/>
      <c r="J19" s="44"/>
      <c r="K19" s="102" t="s">
        <v>181</v>
      </c>
      <c r="N19" s="19"/>
      <c r="U19" s="20"/>
    </row>
    <row r="20" spans="1:21" s="18" customFormat="1" ht="76.5" customHeight="1" thickBot="1" x14ac:dyDescent="0.25">
      <c r="A20" s="46" t="s">
        <v>180</v>
      </c>
      <c r="B20" s="47" t="s">
        <v>399</v>
      </c>
      <c r="C20" s="46" t="s">
        <v>179</v>
      </c>
      <c r="D20" s="46" t="s">
        <v>436</v>
      </c>
      <c r="E20" s="46" t="s">
        <v>398</v>
      </c>
      <c r="F20" s="49" t="s">
        <v>396</v>
      </c>
      <c r="G20" s="50"/>
      <c r="H20" s="50"/>
      <c r="I20" s="46" t="s">
        <v>182</v>
      </c>
      <c r="J20" s="46" t="s">
        <v>301</v>
      </c>
      <c r="K20" s="46" t="s">
        <v>400</v>
      </c>
      <c r="M20" s="19"/>
      <c r="T20" s="20"/>
    </row>
    <row r="21" spans="1:21" s="18" customFormat="1" ht="12.75" customHeight="1" x14ac:dyDescent="0.2">
      <c r="A21" s="59">
        <v>10</v>
      </c>
      <c r="B21" s="59" t="s">
        <v>178</v>
      </c>
      <c r="C21" s="59" t="s">
        <v>302</v>
      </c>
      <c r="D21" s="59"/>
      <c r="E21" s="103" t="s">
        <v>46</v>
      </c>
      <c r="F21" s="91" t="s">
        <v>302</v>
      </c>
      <c r="G21" s="91" t="s">
        <v>302</v>
      </c>
      <c r="H21" s="91" t="s">
        <v>302</v>
      </c>
      <c r="I21" s="104"/>
      <c r="J21" s="104"/>
      <c r="K21" s="85"/>
      <c r="M21" s="19"/>
      <c r="T21" s="20"/>
    </row>
    <row r="22" spans="1:21" s="18" customFormat="1" ht="12.75" customHeight="1" x14ac:dyDescent="0.2">
      <c r="A22" s="53"/>
      <c r="B22" s="53"/>
      <c r="C22" s="53"/>
      <c r="D22" s="53"/>
      <c r="E22" s="66" t="s">
        <v>45</v>
      </c>
      <c r="F22" s="85" t="s">
        <v>302</v>
      </c>
      <c r="G22" s="85" t="s">
        <v>375</v>
      </c>
      <c r="H22" s="85" t="s">
        <v>375</v>
      </c>
      <c r="I22" s="85" t="s">
        <v>303</v>
      </c>
      <c r="J22" s="57"/>
      <c r="K22" s="58"/>
      <c r="M22" s="19"/>
      <c r="T22" s="20"/>
    </row>
    <row r="23" spans="1:21" s="18" customFormat="1" ht="12.75" customHeight="1" x14ac:dyDescent="0.2">
      <c r="A23" s="53"/>
      <c r="B23" s="53"/>
      <c r="C23" s="53"/>
      <c r="D23" s="53"/>
      <c r="E23" s="66" t="s">
        <v>107</v>
      </c>
      <c r="F23" s="85" t="s">
        <v>302</v>
      </c>
      <c r="G23" s="85" t="s">
        <v>302</v>
      </c>
      <c r="H23" s="85" t="s">
        <v>302</v>
      </c>
      <c r="I23" s="85"/>
      <c r="J23" s="57"/>
      <c r="K23" s="58"/>
      <c r="M23" s="19"/>
      <c r="T23" s="20"/>
    </row>
    <row r="24" spans="1:21" s="18" customFormat="1" ht="12.75" customHeight="1" x14ac:dyDescent="0.2">
      <c r="A24" s="53"/>
      <c r="B24" s="53"/>
      <c r="C24" s="53"/>
      <c r="D24" s="53"/>
      <c r="E24" s="66" t="s">
        <v>177</v>
      </c>
      <c r="F24" s="85" t="s">
        <v>304</v>
      </c>
      <c r="G24" s="85" t="s">
        <v>302</v>
      </c>
      <c r="H24" s="85" t="s">
        <v>302</v>
      </c>
      <c r="I24" s="85"/>
      <c r="J24" s="57"/>
      <c r="K24" s="58"/>
      <c r="M24" s="19"/>
      <c r="T24" s="20"/>
    </row>
    <row r="25" spans="1:21" s="18" customFormat="1" ht="12.75" customHeight="1" x14ac:dyDescent="0.2">
      <c r="A25" s="53"/>
      <c r="B25" s="53"/>
      <c r="C25" s="53"/>
      <c r="D25" s="53"/>
      <c r="E25" s="105" t="s">
        <v>142</v>
      </c>
      <c r="F25" s="85" t="s">
        <v>304</v>
      </c>
      <c r="G25" s="85" t="s">
        <v>304</v>
      </c>
      <c r="H25" s="85" t="s">
        <v>304</v>
      </c>
      <c r="I25" s="85"/>
      <c r="J25" s="57"/>
      <c r="K25" s="57"/>
      <c r="M25" s="19"/>
      <c r="T25" s="20"/>
    </row>
    <row r="26" spans="1:21" s="18" customFormat="1" ht="12.75" customHeight="1" x14ac:dyDescent="0.2">
      <c r="A26" s="53"/>
      <c r="B26" s="53"/>
      <c r="C26" s="53"/>
      <c r="D26" s="53"/>
      <c r="E26" s="105" t="s">
        <v>168</v>
      </c>
      <c r="F26" s="85" t="s">
        <v>304</v>
      </c>
      <c r="G26" s="85" t="s">
        <v>304</v>
      </c>
      <c r="H26" s="85" t="s">
        <v>304</v>
      </c>
      <c r="I26" s="85"/>
      <c r="J26" s="57"/>
      <c r="K26" s="57"/>
      <c r="M26" s="19"/>
      <c r="T26" s="20"/>
    </row>
    <row r="27" spans="1:21" s="18" customFormat="1" ht="12.75" customHeight="1" x14ac:dyDescent="0.2">
      <c r="A27" s="53"/>
      <c r="B27" s="53"/>
      <c r="C27" s="53"/>
      <c r="D27" s="53"/>
      <c r="E27" s="66" t="s">
        <v>150</v>
      </c>
      <c r="F27" s="85" t="s">
        <v>302</v>
      </c>
      <c r="G27" s="85" t="s">
        <v>302</v>
      </c>
      <c r="H27" s="85" t="s">
        <v>353</v>
      </c>
      <c r="I27" s="85" t="s">
        <v>306</v>
      </c>
      <c r="J27" s="57"/>
      <c r="K27" s="58"/>
      <c r="M27" s="19"/>
      <c r="T27" s="20"/>
    </row>
    <row r="28" spans="1:21" s="18" customFormat="1" ht="12.75" customHeight="1" x14ac:dyDescent="0.2">
      <c r="A28" s="53"/>
      <c r="B28" s="53"/>
      <c r="C28" s="53"/>
      <c r="D28" s="53"/>
      <c r="E28" s="66" t="s">
        <v>99</v>
      </c>
      <c r="F28" s="85" t="s">
        <v>302</v>
      </c>
      <c r="G28" s="85" t="s">
        <v>302</v>
      </c>
      <c r="H28" s="85" t="s">
        <v>302</v>
      </c>
      <c r="I28" s="85"/>
      <c r="J28" s="57"/>
      <c r="K28" s="58"/>
      <c r="M28" s="19"/>
      <c r="T28" s="20"/>
    </row>
    <row r="29" spans="1:21" s="18" customFormat="1" ht="12.75" customHeight="1" thickBot="1" x14ac:dyDescent="0.25">
      <c r="A29" s="53"/>
      <c r="B29" s="53"/>
      <c r="C29" s="53"/>
      <c r="D29" s="53"/>
      <c r="E29" s="60" t="s">
        <v>94</v>
      </c>
      <c r="F29" s="92" t="s">
        <v>304</v>
      </c>
      <c r="G29" s="92" t="s">
        <v>304</v>
      </c>
      <c r="H29" s="92" t="s">
        <v>304</v>
      </c>
      <c r="I29" s="85"/>
      <c r="J29" s="57"/>
      <c r="K29" s="58"/>
      <c r="M29" s="19"/>
      <c r="T29" s="20"/>
    </row>
    <row r="30" spans="1:21" s="18" customFormat="1" ht="12.75" customHeight="1" x14ac:dyDescent="0.2">
      <c r="A30" s="53">
        <v>20</v>
      </c>
      <c r="B30" s="64" t="s">
        <v>166</v>
      </c>
      <c r="C30" s="53" t="s">
        <v>302</v>
      </c>
      <c r="D30" s="64"/>
      <c r="E30" s="106" t="s">
        <v>143</v>
      </c>
      <c r="F30" s="85" t="s">
        <v>304</v>
      </c>
      <c r="G30" s="85" t="s">
        <v>304</v>
      </c>
      <c r="H30" s="85" t="s">
        <v>304</v>
      </c>
      <c r="I30" s="85"/>
      <c r="J30" s="57"/>
      <c r="K30" s="57"/>
      <c r="M30" s="19"/>
      <c r="T30" s="20"/>
    </row>
    <row r="31" spans="1:21" s="18" customFormat="1" ht="12.75" customHeight="1" x14ac:dyDescent="0.2">
      <c r="A31" s="53"/>
      <c r="B31" s="65"/>
      <c r="C31" s="53"/>
      <c r="D31" s="65"/>
      <c r="E31" s="105" t="s">
        <v>142</v>
      </c>
      <c r="F31" s="85" t="s">
        <v>304</v>
      </c>
      <c r="G31" s="85" t="s">
        <v>304</v>
      </c>
      <c r="H31" s="85" t="s">
        <v>304</v>
      </c>
      <c r="I31" s="85"/>
      <c r="J31" s="57"/>
      <c r="K31" s="57"/>
      <c r="M31" s="19"/>
      <c r="T31" s="20"/>
    </row>
    <row r="32" spans="1:21" s="18" customFormat="1" ht="12.75" customHeight="1" x14ac:dyDescent="0.2">
      <c r="A32" s="53"/>
      <c r="B32" s="65"/>
      <c r="C32" s="53"/>
      <c r="D32" s="65"/>
      <c r="E32" s="107" t="s">
        <v>165</v>
      </c>
      <c r="F32" s="85" t="s">
        <v>302</v>
      </c>
      <c r="G32" s="85" t="s">
        <v>302</v>
      </c>
      <c r="H32" s="85" t="s">
        <v>302</v>
      </c>
      <c r="I32" s="85"/>
      <c r="J32" s="57"/>
      <c r="K32" s="58"/>
      <c r="M32" s="19"/>
      <c r="T32" s="20"/>
    </row>
    <row r="33" spans="1:20" s="18" customFormat="1" ht="12.75" customHeight="1" x14ac:dyDescent="0.2">
      <c r="A33" s="53"/>
      <c r="B33" s="65"/>
      <c r="C33" s="53"/>
      <c r="D33" s="65"/>
      <c r="E33" s="66" t="s">
        <v>92</v>
      </c>
      <c r="F33" s="85" t="s">
        <v>302</v>
      </c>
      <c r="G33" s="85" t="s">
        <v>376</v>
      </c>
      <c r="H33" s="85" t="s">
        <v>376</v>
      </c>
      <c r="I33" s="85" t="s">
        <v>307</v>
      </c>
      <c r="J33" s="57"/>
      <c r="K33" s="58"/>
      <c r="M33" s="19"/>
      <c r="T33" s="20"/>
    </row>
    <row r="34" spans="1:20" s="18" customFormat="1" ht="12.75" customHeight="1" x14ac:dyDescent="0.2">
      <c r="A34" s="53"/>
      <c r="B34" s="65"/>
      <c r="C34" s="53"/>
      <c r="D34" s="65"/>
      <c r="E34" s="66" t="s">
        <v>139</v>
      </c>
      <c r="F34" s="85" t="s">
        <v>302</v>
      </c>
      <c r="G34" s="85" t="s">
        <v>358</v>
      </c>
      <c r="H34" s="85" t="s">
        <v>357</v>
      </c>
      <c r="I34" s="85" t="s">
        <v>308</v>
      </c>
      <c r="J34" s="57"/>
      <c r="K34" s="58"/>
      <c r="M34" s="19"/>
      <c r="T34" s="20"/>
    </row>
    <row r="35" spans="1:20" s="18" customFormat="1" ht="12.75" customHeight="1" x14ac:dyDescent="0.2">
      <c r="A35" s="53"/>
      <c r="B35" s="65"/>
      <c r="C35" s="53"/>
      <c r="D35" s="65"/>
      <c r="E35" s="66" t="s">
        <v>164</v>
      </c>
      <c r="F35" s="85" t="s">
        <v>302</v>
      </c>
      <c r="G35" s="85" t="s">
        <v>302</v>
      </c>
      <c r="H35" s="85" t="s">
        <v>302</v>
      </c>
      <c r="I35" s="85"/>
      <c r="J35" s="57"/>
      <c r="K35" s="58"/>
      <c r="M35" s="19"/>
      <c r="T35" s="20"/>
    </row>
    <row r="36" spans="1:20" s="18" customFormat="1" ht="12.75" customHeight="1" x14ac:dyDescent="0.2">
      <c r="A36" s="53"/>
      <c r="B36" s="65"/>
      <c r="C36" s="53"/>
      <c r="D36" s="65"/>
      <c r="E36" s="66" t="s">
        <v>163</v>
      </c>
      <c r="F36" s="85" t="s">
        <v>302</v>
      </c>
      <c r="G36" s="85" t="s">
        <v>302</v>
      </c>
      <c r="H36" s="85" t="s">
        <v>357</v>
      </c>
      <c r="I36" s="85" t="s">
        <v>309</v>
      </c>
      <c r="J36" s="57"/>
      <c r="K36" s="58"/>
      <c r="M36" s="19"/>
      <c r="T36" s="20"/>
    </row>
    <row r="37" spans="1:20" s="18" customFormat="1" ht="12.75" customHeight="1" x14ac:dyDescent="0.2">
      <c r="A37" s="53"/>
      <c r="B37" s="65"/>
      <c r="C37" s="53"/>
      <c r="D37" s="65"/>
      <c r="E37" s="66" t="s">
        <v>162</v>
      </c>
      <c r="F37" s="85" t="s">
        <v>302</v>
      </c>
      <c r="G37" s="85" t="s">
        <v>302</v>
      </c>
      <c r="H37" s="85" t="s">
        <v>302</v>
      </c>
      <c r="I37" s="85"/>
      <c r="J37" s="57"/>
      <c r="K37" s="58"/>
      <c r="M37" s="19"/>
      <c r="T37" s="20"/>
    </row>
    <row r="38" spans="1:20" s="18" customFormat="1" ht="12.75" customHeight="1" x14ac:dyDescent="0.2">
      <c r="A38" s="53"/>
      <c r="B38" s="65"/>
      <c r="C38" s="53"/>
      <c r="D38" s="65"/>
      <c r="E38" s="66" t="s">
        <v>161</v>
      </c>
      <c r="F38" s="85" t="s">
        <v>304</v>
      </c>
      <c r="G38" s="85" t="s">
        <v>302</v>
      </c>
      <c r="H38" s="85" t="s">
        <v>302</v>
      </c>
      <c r="I38" s="85"/>
      <c r="J38" s="57"/>
      <c r="K38" s="58"/>
      <c r="M38" s="19"/>
      <c r="T38" s="20"/>
    </row>
    <row r="39" spans="1:20" s="18" customFormat="1" ht="12.75" customHeight="1" x14ac:dyDescent="0.2">
      <c r="A39" s="53"/>
      <c r="B39" s="65"/>
      <c r="C39" s="53"/>
      <c r="D39" s="65"/>
      <c r="E39" s="66" t="s">
        <v>160</v>
      </c>
      <c r="F39" s="85" t="s">
        <v>302</v>
      </c>
      <c r="G39" s="85" t="s">
        <v>302</v>
      </c>
      <c r="H39" s="85" t="s">
        <v>302</v>
      </c>
      <c r="I39" s="85"/>
      <c r="J39" s="57"/>
      <c r="K39" s="58"/>
      <c r="M39" s="19"/>
      <c r="T39" s="20"/>
    </row>
    <row r="40" spans="1:20" s="18" customFormat="1" ht="12.75" customHeight="1" x14ac:dyDescent="0.2">
      <c r="A40" s="53"/>
      <c r="B40" s="65"/>
      <c r="C40" s="53"/>
      <c r="D40" s="65"/>
      <c r="E40" s="66" t="s">
        <v>135</v>
      </c>
      <c r="F40" s="85" t="s">
        <v>302</v>
      </c>
      <c r="G40" s="85" t="s">
        <v>302</v>
      </c>
      <c r="H40" s="85" t="s">
        <v>302</v>
      </c>
      <c r="I40" s="85"/>
      <c r="J40" s="57"/>
      <c r="K40" s="58"/>
      <c r="M40" s="19"/>
      <c r="T40" s="20"/>
    </row>
    <row r="41" spans="1:20" s="18" customFormat="1" ht="12.75" customHeight="1" x14ac:dyDescent="0.2">
      <c r="A41" s="53"/>
      <c r="B41" s="65"/>
      <c r="C41" s="53"/>
      <c r="D41" s="65"/>
      <c r="E41" s="66" t="s">
        <v>103</v>
      </c>
      <c r="F41" s="85" t="s">
        <v>304</v>
      </c>
      <c r="G41" s="85" t="s">
        <v>304</v>
      </c>
      <c r="H41" s="85" t="s">
        <v>302</v>
      </c>
      <c r="I41" s="85"/>
      <c r="J41" s="57"/>
      <c r="K41" s="58"/>
      <c r="M41" s="19"/>
      <c r="T41" s="20"/>
    </row>
    <row r="42" spans="1:20" s="18" customFormat="1" ht="12.75" customHeight="1" x14ac:dyDescent="0.2">
      <c r="A42" s="53"/>
      <c r="B42" s="65"/>
      <c r="C42" s="53"/>
      <c r="D42" s="65"/>
      <c r="E42" s="66" t="s">
        <v>138</v>
      </c>
      <c r="F42" s="85" t="s">
        <v>302</v>
      </c>
      <c r="G42" s="85" t="s">
        <v>302</v>
      </c>
      <c r="H42" s="85" t="s">
        <v>302</v>
      </c>
      <c r="I42" s="85"/>
      <c r="J42" s="57"/>
      <c r="K42" s="58"/>
      <c r="M42" s="19"/>
      <c r="T42" s="20"/>
    </row>
    <row r="43" spans="1:20" s="18" customFormat="1" ht="12.75" customHeight="1" x14ac:dyDescent="0.2">
      <c r="A43" s="53"/>
      <c r="B43" s="65"/>
      <c r="C43" s="53"/>
      <c r="D43" s="65"/>
      <c r="E43" s="66" t="s">
        <v>159</v>
      </c>
      <c r="F43" s="85" t="s">
        <v>302</v>
      </c>
      <c r="G43" s="85" t="s">
        <v>302</v>
      </c>
      <c r="H43" s="85" t="s">
        <v>302</v>
      </c>
      <c r="I43" s="85"/>
      <c r="J43" s="57"/>
      <c r="K43" s="58"/>
      <c r="M43" s="19"/>
      <c r="T43" s="20"/>
    </row>
    <row r="44" spans="1:20" s="18" customFormat="1" ht="12.75" customHeight="1" x14ac:dyDescent="0.2">
      <c r="A44" s="53"/>
      <c r="B44" s="65"/>
      <c r="C44" s="53"/>
      <c r="D44" s="65"/>
      <c r="E44" s="66" t="s">
        <v>158</v>
      </c>
      <c r="F44" s="85" t="s">
        <v>304</v>
      </c>
      <c r="G44" s="85" t="s">
        <v>302</v>
      </c>
      <c r="H44" s="85" t="s">
        <v>302</v>
      </c>
      <c r="I44" s="85"/>
      <c r="J44" s="57"/>
      <c r="K44" s="58"/>
      <c r="M44" s="19"/>
      <c r="T44" s="20"/>
    </row>
    <row r="45" spans="1:20" s="18" customFormat="1" ht="12.75" customHeight="1" x14ac:dyDescent="0.2">
      <c r="A45" s="53"/>
      <c r="B45" s="65"/>
      <c r="C45" s="53"/>
      <c r="D45" s="65"/>
      <c r="E45" s="66" t="s">
        <v>157</v>
      </c>
      <c r="F45" s="85" t="s">
        <v>304</v>
      </c>
      <c r="G45" s="85" t="s">
        <v>302</v>
      </c>
      <c r="H45" s="85" t="s">
        <v>302</v>
      </c>
      <c r="I45" s="85"/>
      <c r="J45" s="57"/>
      <c r="K45" s="58"/>
      <c r="M45" s="19"/>
      <c r="T45" s="20"/>
    </row>
    <row r="46" spans="1:20" s="18" customFormat="1" ht="12.75" customHeight="1" x14ac:dyDescent="0.2">
      <c r="A46" s="53"/>
      <c r="B46" s="65"/>
      <c r="C46" s="53"/>
      <c r="D46" s="65"/>
      <c r="E46" s="105" t="s">
        <v>156</v>
      </c>
      <c r="F46" s="85" t="s">
        <v>304</v>
      </c>
      <c r="G46" s="85" t="s">
        <v>304</v>
      </c>
      <c r="H46" s="85" t="s">
        <v>304</v>
      </c>
      <c r="I46" s="85"/>
      <c r="J46" s="57"/>
      <c r="K46" s="57"/>
      <c r="M46" s="19"/>
      <c r="T46" s="20"/>
    </row>
    <row r="47" spans="1:20" s="18" customFormat="1" ht="12.75" customHeight="1" thickBot="1" x14ac:dyDescent="0.25">
      <c r="A47" s="53"/>
      <c r="B47" s="65"/>
      <c r="C47" s="53"/>
      <c r="D47" s="59"/>
      <c r="E47" s="108" t="s">
        <v>155</v>
      </c>
      <c r="F47" s="92" t="s">
        <v>304</v>
      </c>
      <c r="G47" s="92" t="s">
        <v>304</v>
      </c>
      <c r="H47" s="92" t="s">
        <v>304</v>
      </c>
      <c r="I47" s="85"/>
      <c r="J47" s="57"/>
      <c r="K47" s="57"/>
      <c r="M47" s="19"/>
      <c r="T47" s="20"/>
    </row>
    <row r="48" spans="1:20" s="18" customFormat="1" ht="12.75" customHeight="1" x14ac:dyDescent="0.2">
      <c r="A48" s="53">
        <v>30</v>
      </c>
      <c r="B48" s="64" t="s">
        <v>176</v>
      </c>
      <c r="C48" s="53" t="s">
        <v>302</v>
      </c>
      <c r="D48" s="53"/>
      <c r="E48" s="103" t="s">
        <v>175</v>
      </c>
      <c r="F48" s="91" t="s">
        <v>302</v>
      </c>
      <c r="G48" s="91" t="s">
        <v>302</v>
      </c>
      <c r="H48" s="91" t="s">
        <v>302</v>
      </c>
      <c r="I48" s="85"/>
      <c r="J48" s="57"/>
      <c r="K48" s="58"/>
      <c r="M48" s="19"/>
      <c r="T48" s="20"/>
    </row>
    <row r="49" spans="1:20" s="18" customFormat="1" ht="12.75" customHeight="1" x14ac:dyDescent="0.2">
      <c r="A49" s="53"/>
      <c r="B49" s="65"/>
      <c r="C49" s="53"/>
      <c r="D49" s="53"/>
      <c r="E49" s="66" t="s">
        <v>174</v>
      </c>
      <c r="F49" s="85" t="s">
        <v>302</v>
      </c>
      <c r="G49" s="85" t="s">
        <v>375</v>
      </c>
      <c r="H49" s="85" t="s">
        <v>375</v>
      </c>
      <c r="I49" s="85" t="s">
        <v>303</v>
      </c>
      <c r="J49" s="57"/>
      <c r="K49" s="58"/>
      <c r="M49" s="19"/>
      <c r="T49" s="20"/>
    </row>
    <row r="50" spans="1:20" s="18" customFormat="1" ht="12.75" customHeight="1" x14ac:dyDescent="0.2">
      <c r="A50" s="53"/>
      <c r="B50" s="65"/>
      <c r="C50" s="53"/>
      <c r="D50" s="53"/>
      <c r="E50" s="66" t="s">
        <v>173</v>
      </c>
      <c r="F50" s="85" t="s">
        <v>302</v>
      </c>
      <c r="G50" s="85" t="s">
        <v>302</v>
      </c>
      <c r="H50" s="85" t="s">
        <v>302</v>
      </c>
      <c r="I50" s="85"/>
      <c r="J50" s="57"/>
      <c r="K50" s="58"/>
      <c r="M50" s="19"/>
      <c r="T50" s="20"/>
    </row>
    <row r="51" spans="1:20" s="18" customFormat="1" ht="12.75" customHeight="1" x14ac:dyDescent="0.2">
      <c r="A51" s="53"/>
      <c r="B51" s="65"/>
      <c r="C51" s="53"/>
      <c r="D51" s="53"/>
      <c r="E51" s="66" t="s">
        <v>172</v>
      </c>
      <c r="F51" s="85" t="s">
        <v>304</v>
      </c>
      <c r="G51" s="85" t="s">
        <v>302</v>
      </c>
      <c r="H51" s="85" t="s">
        <v>302</v>
      </c>
      <c r="I51" s="85"/>
      <c r="J51" s="57"/>
      <c r="K51" s="58"/>
      <c r="M51" s="19"/>
      <c r="T51" s="20"/>
    </row>
    <row r="52" spans="1:20" s="18" customFormat="1" ht="12.75" customHeight="1" x14ac:dyDescent="0.2">
      <c r="A52" s="53"/>
      <c r="B52" s="65"/>
      <c r="C52" s="53"/>
      <c r="D52" s="53"/>
      <c r="E52" s="66" t="s">
        <v>171</v>
      </c>
      <c r="F52" s="85" t="s">
        <v>304</v>
      </c>
      <c r="G52" s="85" t="s">
        <v>354</v>
      </c>
      <c r="H52" s="85" t="s">
        <v>354</v>
      </c>
      <c r="I52" s="85" t="s">
        <v>313</v>
      </c>
      <c r="J52" s="57"/>
      <c r="K52" s="58"/>
      <c r="M52" s="19"/>
      <c r="T52" s="20"/>
    </row>
    <row r="53" spans="1:20" s="18" customFormat="1" ht="12.75" customHeight="1" x14ac:dyDescent="0.2">
      <c r="A53" s="53"/>
      <c r="B53" s="65"/>
      <c r="C53" s="53"/>
      <c r="D53" s="53"/>
      <c r="E53" s="66" t="s">
        <v>170</v>
      </c>
      <c r="F53" s="85" t="s">
        <v>302</v>
      </c>
      <c r="G53" s="85" t="s">
        <v>302</v>
      </c>
      <c r="H53" s="85" t="s">
        <v>302</v>
      </c>
      <c r="I53" s="85"/>
      <c r="J53" s="57"/>
      <c r="K53" s="58"/>
      <c r="M53" s="19"/>
      <c r="T53" s="20"/>
    </row>
    <row r="54" spans="1:20" s="18" customFormat="1" ht="25.5" x14ac:dyDescent="0.2">
      <c r="A54" s="53"/>
      <c r="B54" s="65"/>
      <c r="C54" s="53"/>
      <c r="D54" s="53"/>
      <c r="E54" s="66" t="s">
        <v>169</v>
      </c>
      <c r="F54" s="85" t="s">
        <v>302</v>
      </c>
      <c r="G54" s="104" t="s">
        <v>377</v>
      </c>
      <c r="H54" s="104" t="s">
        <v>377</v>
      </c>
      <c r="I54" s="85" t="s">
        <v>314</v>
      </c>
      <c r="J54" s="57"/>
      <c r="K54" s="58"/>
      <c r="M54" s="19"/>
      <c r="T54" s="20"/>
    </row>
    <row r="55" spans="1:20" s="18" customFormat="1" ht="12.75" customHeight="1" x14ac:dyDescent="0.2">
      <c r="A55" s="53"/>
      <c r="B55" s="65"/>
      <c r="C55" s="53"/>
      <c r="D55" s="53"/>
      <c r="E55" s="66" t="s">
        <v>104</v>
      </c>
      <c r="F55" s="85" t="s">
        <v>302</v>
      </c>
      <c r="G55" s="85" t="s">
        <v>358</v>
      </c>
      <c r="H55" s="85" t="s">
        <v>378</v>
      </c>
      <c r="I55" s="85" t="s">
        <v>315</v>
      </c>
      <c r="J55" s="57"/>
      <c r="K55" s="58"/>
      <c r="M55" s="19"/>
      <c r="T55" s="20"/>
    </row>
    <row r="56" spans="1:20" s="18" customFormat="1" ht="12.75" customHeight="1" x14ac:dyDescent="0.2">
      <c r="A56" s="53"/>
      <c r="B56" s="65"/>
      <c r="C56" s="53"/>
      <c r="D56" s="53"/>
      <c r="E56" s="66" t="s">
        <v>61</v>
      </c>
      <c r="F56" s="85" t="s">
        <v>302</v>
      </c>
      <c r="G56" s="85" t="s">
        <v>365</v>
      </c>
      <c r="H56" s="85" t="s">
        <v>365</v>
      </c>
      <c r="I56" s="85" t="s">
        <v>316</v>
      </c>
      <c r="J56" s="57"/>
      <c r="K56" s="58"/>
      <c r="M56" s="19"/>
      <c r="T56" s="20"/>
    </row>
    <row r="57" spans="1:20" s="18" customFormat="1" ht="12.75" customHeight="1" x14ac:dyDescent="0.2">
      <c r="A57" s="53"/>
      <c r="B57" s="65"/>
      <c r="C57" s="53"/>
      <c r="D57" s="53"/>
      <c r="E57" s="105" t="s">
        <v>143</v>
      </c>
      <c r="F57" s="85" t="s">
        <v>304</v>
      </c>
      <c r="G57" s="85" t="s">
        <v>304</v>
      </c>
      <c r="H57" s="85" t="s">
        <v>304</v>
      </c>
      <c r="I57" s="85"/>
      <c r="J57" s="57"/>
      <c r="K57" s="57"/>
      <c r="M57" s="19"/>
      <c r="T57" s="20"/>
    </row>
    <row r="58" spans="1:20" s="18" customFormat="1" ht="12.75" customHeight="1" x14ac:dyDescent="0.2">
      <c r="A58" s="53"/>
      <c r="B58" s="65"/>
      <c r="C58" s="53"/>
      <c r="D58" s="53"/>
      <c r="E58" s="105" t="s">
        <v>142</v>
      </c>
      <c r="F58" s="85" t="s">
        <v>304</v>
      </c>
      <c r="G58" s="85" t="s">
        <v>304</v>
      </c>
      <c r="H58" s="85" t="s">
        <v>304</v>
      </c>
      <c r="I58" s="85"/>
      <c r="J58" s="57"/>
      <c r="K58" s="57"/>
      <c r="M58" s="19"/>
      <c r="T58" s="20"/>
    </row>
    <row r="59" spans="1:20" s="18" customFormat="1" ht="12.75" customHeight="1" x14ac:dyDescent="0.2">
      <c r="A59" s="53"/>
      <c r="B59" s="65"/>
      <c r="C59" s="53"/>
      <c r="D59" s="53"/>
      <c r="E59" s="105" t="s">
        <v>168</v>
      </c>
      <c r="F59" s="85" t="s">
        <v>304</v>
      </c>
      <c r="G59" s="85" t="s">
        <v>304</v>
      </c>
      <c r="H59" s="85" t="s">
        <v>304</v>
      </c>
      <c r="I59" s="85"/>
      <c r="J59" s="57"/>
      <c r="K59" s="57"/>
      <c r="M59" s="19"/>
      <c r="T59" s="20"/>
    </row>
    <row r="60" spans="1:20" s="18" customFormat="1" ht="12.75" customHeight="1" thickBot="1" x14ac:dyDescent="0.25">
      <c r="A60" s="53"/>
      <c r="B60" s="65"/>
      <c r="C60" s="53"/>
      <c r="D60" s="53"/>
      <c r="E60" s="60" t="s">
        <v>167</v>
      </c>
      <c r="F60" s="92" t="s">
        <v>302</v>
      </c>
      <c r="G60" s="92" t="s">
        <v>302</v>
      </c>
      <c r="H60" s="92" t="s">
        <v>302</v>
      </c>
      <c r="I60" s="85"/>
      <c r="J60" s="57"/>
      <c r="K60" s="58"/>
      <c r="M60" s="19"/>
      <c r="T60" s="20"/>
    </row>
    <row r="61" spans="1:20" s="18" customFormat="1" ht="12.75" customHeight="1" x14ac:dyDescent="0.2">
      <c r="A61" s="109">
        <v>40</v>
      </c>
      <c r="B61" s="72" t="s">
        <v>154</v>
      </c>
      <c r="C61" s="53" t="s">
        <v>302</v>
      </c>
      <c r="D61" s="53"/>
      <c r="E61" s="67" t="s">
        <v>45</v>
      </c>
      <c r="F61" s="91" t="s">
        <v>302</v>
      </c>
      <c r="G61" s="85" t="s">
        <v>375</v>
      </c>
      <c r="H61" s="85" t="s">
        <v>375</v>
      </c>
      <c r="I61" s="85" t="s">
        <v>303</v>
      </c>
      <c r="J61" s="57"/>
      <c r="K61" s="58"/>
      <c r="M61" s="19"/>
      <c r="T61" s="20"/>
    </row>
    <row r="62" spans="1:20" s="18" customFormat="1" ht="12.75" customHeight="1" x14ac:dyDescent="0.2">
      <c r="A62" s="109"/>
      <c r="B62" s="72"/>
      <c r="C62" s="53"/>
      <c r="D62" s="53"/>
      <c r="E62" s="66" t="s">
        <v>153</v>
      </c>
      <c r="F62" s="85" t="s">
        <v>304</v>
      </c>
      <c r="G62" s="85" t="s">
        <v>302</v>
      </c>
      <c r="H62" s="85" t="s">
        <v>302</v>
      </c>
      <c r="I62" s="85"/>
      <c r="J62" s="57"/>
      <c r="K62" s="58"/>
      <c r="M62" s="19"/>
      <c r="T62" s="20"/>
    </row>
    <row r="63" spans="1:20" s="18" customFormat="1" ht="12.75" customHeight="1" x14ac:dyDescent="0.2">
      <c r="A63" s="109"/>
      <c r="B63" s="72"/>
      <c r="C63" s="53"/>
      <c r="D63" s="53"/>
      <c r="E63" s="66" t="s">
        <v>152</v>
      </c>
      <c r="F63" s="85" t="s">
        <v>304</v>
      </c>
      <c r="G63" s="85" t="s">
        <v>354</v>
      </c>
      <c r="H63" s="85" t="s">
        <v>354</v>
      </c>
      <c r="I63" s="85" t="s">
        <v>313</v>
      </c>
      <c r="J63" s="57"/>
      <c r="K63" s="58"/>
      <c r="M63" s="19"/>
      <c r="T63" s="20"/>
    </row>
    <row r="64" spans="1:20" s="18" customFormat="1" ht="12.75" customHeight="1" x14ac:dyDescent="0.2">
      <c r="A64" s="109"/>
      <c r="B64" s="72"/>
      <c r="C64" s="53"/>
      <c r="D64" s="53"/>
      <c r="E64" s="66" t="s">
        <v>102</v>
      </c>
      <c r="F64" s="85" t="s">
        <v>302</v>
      </c>
      <c r="G64" s="85" t="s">
        <v>302</v>
      </c>
      <c r="H64" s="85" t="s">
        <v>302</v>
      </c>
      <c r="I64" s="85"/>
      <c r="J64" s="57"/>
      <c r="K64" s="58"/>
      <c r="M64" s="19"/>
      <c r="T64" s="20"/>
    </row>
    <row r="65" spans="1:20" s="18" customFormat="1" ht="25.5" x14ac:dyDescent="0.2">
      <c r="A65" s="109"/>
      <c r="B65" s="72"/>
      <c r="C65" s="53"/>
      <c r="D65" s="53"/>
      <c r="E65" s="66" t="s">
        <v>133</v>
      </c>
      <c r="F65" s="85" t="s">
        <v>302</v>
      </c>
      <c r="G65" s="85" t="s">
        <v>379</v>
      </c>
      <c r="H65" s="104" t="s">
        <v>388</v>
      </c>
      <c r="I65" s="85" t="s">
        <v>318</v>
      </c>
      <c r="J65" s="57"/>
      <c r="K65" s="58"/>
      <c r="M65" s="19"/>
      <c r="T65" s="20"/>
    </row>
    <row r="66" spans="1:20" s="18" customFormat="1" ht="12.75" customHeight="1" x14ac:dyDescent="0.2">
      <c r="A66" s="109"/>
      <c r="B66" s="72"/>
      <c r="C66" s="53"/>
      <c r="D66" s="53"/>
      <c r="E66" s="66" t="s">
        <v>109</v>
      </c>
      <c r="F66" s="85" t="s">
        <v>302</v>
      </c>
      <c r="G66" s="85" t="s">
        <v>380</v>
      </c>
      <c r="H66" s="85" t="s">
        <v>354</v>
      </c>
      <c r="I66" s="85" t="s">
        <v>319</v>
      </c>
      <c r="J66" s="57"/>
      <c r="K66" s="58"/>
      <c r="M66" s="19"/>
      <c r="T66" s="20"/>
    </row>
    <row r="67" spans="1:20" s="18" customFormat="1" ht="12.75" customHeight="1" x14ac:dyDescent="0.2">
      <c r="A67" s="109"/>
      <c r="B67" s="72"/>
      <c r="C67" s="53"/>
      <c r="D67" s="53"/>
      <c r="E67" s="66" t="s">
        <v>150</v>
      </c>
      <c r="F67" s="85" t="s">
        <v>302</v>
      </c>
      <c r="G67" s="85" t="s">
        <v>302</v>
      </c>
      <c r="H67" s="85" t="s">
        <v>353</v>
      </c>
      <c r="I67" s="85" t="s">
        <v>306</v>
      </c>
      <c r="J67" s="57"/>
      <c r="K67" s="58"/>
      <c r="M67" s="19"/>
      <c r="T67" s="20"/>
    </row>
    <row r="68" spans="1:20" s="18" customFormat="1" ht="12.75" customHeight="1" x14ac:dyDescent="0.2">
      <c r="A68" s="109"/>
      <c r="B68" s="72"/>
      <c r="C68" s="53"/>
      <c r="D68" s="53"/>
      <c r="E68" s="66" t="s">
        <v>149</v>
      </c>
      <c r="F68" s="85" t="s">
        <v>302</v>
      </c>
      <c r="G68" s="85" t="s">
        <v>302</v>
      </c>
      <c r="H68" s="85" t="s">
        <v>365</v>
      </c>
      <c r="I68" s="85" t="s">
        <v>320</v>
      </c>
      <c r="J68" s="57"/>
      <c r="K68" s="58"/>
      <c r="M68" s="19"/>
      <c r="T68" s="20"/>
    </row>
    <row r="69" spans="1:20" s="18" customFormat="1" ht="12.75" customHeight="1" x14ac:dyDescent="0.2">
      <c r="A69" s="109"/>
      <c r="B69" s="72"/>
      <c r="C69" s="53"/>
      <c r="D69" s="53"/>
      <c r="E69" s="66" t="s">
        <v>60</v>
      </c>
      <c r="F69" s="85" t="s">
        <v>302</v>
      </c>
      <c r="G69" s="85" t="s">
        <v>381</v>
      </c>
      <c r="H69" s="85" t="s">
        <v>365</v>
      </c>
      <c r="I69" s="85" t="s">
        <v>321</v>
      </c>
      <c r="J69" s="57"/>
      <c r="K69" s="58"/>
      <c r="M69" s="19"/>
      <c r="T69" s="20"/>
    </row>
    <row r="70" spans="1:20" s="18" customFormat="1" ht="12.75" customHeight="1" x14ac:dyDescent="0.2">
      <c r="A70" s="109"/>
      <c r="B70" s="72"/>
      <c r="C70" s="53"/>
      <c r="D70" s="53"/>
      <c r="E70" s="66" t="s">
        <v>59</v>
      </c>
      <c r="F70" s="85" t="s">
        <v>302</v>
      </c>
      <c r="G70" s="85" t="s">
        <v>302</v>
      </c>
      <c r="H70" s="85" t="s">
        <v>302</v>
      </c>
      <c r="I70" s="85"/>
      <c r="J70" s="57"/>
      <c r="K70" s="58"/>
      <c r="M70" s="19"/>
      <c r="T70" s="20"/>
    </row>
    <row r="71" spans="1:20" s="18" customFormat="1" ht="12.75" customHeight="1" x14ac:dyDescent="0.2">
      <c r="A71" s="109"/>
      <c r="B71" s="72"/>
      <c r="C71" s="53"/>
      <c r="D71" s="53"/>
      <c r="E71" s="66" t="s">
        <v>151</v>
      </c>
      <c r="F71" s="85" t="s">
        <v>304</v>
      </c>
      <c r="G71" s="85" t="s">
        <v>302</v>
      </c>
      <c r="H71" s="85" t="s">
        <v>302</v>
      </c>
      <c r="I71" s="85"/>
      <c r="J71" s="57"/>
      <c r="K71" s="58"/>
      <c r="M71" s="19"/>
      <c r="T71" s="20"/>
    </row>
    <row r="72" spans="1:20" s="18" customFormat="1" ht="12.75" customHeight="1" thickBot="1" x14ac:dyDescent="0.25">
      <c r="A72" s="109"/>
      <c r="B72" s="72"/>
      <c r="C72" s="53"/>
      <c r="D72" s="53"/>
      <c r="E72" s="60" t="s">
        <v>67</v>
      </c>
      <c r="F72" s="92" t="s">
        <v>304</v>
      </c>
      <c r="G72" s="92" t="s">
        <v>302</v>
      </c>
      <c r="H72" s="92" t="s">
        <v>302</v>
      </c>
      <c r="I72" s="85"/>
      <c r="J72" s="57"/>
      <c r="K72" s="58"/>
      <c r="M72" s="19"/>
      <c r="T72" s="20"/>
    </row>
    <row r="73" spans="1:20" s="18" customFormat="1" ht="25.5" x14ac:dyDescent="0.2">
      <c r="A73" s="110">
        <v>50</v>
      </c>
      <c r="B73" s="72" t="s">
        <v>197</v>
      </c>
      <c r="C73" s="72" t="s">
        <v>302</v>
      </c>
      <c r="D73" s="72"/>
      <c r="E73" s="67" t="s">
        <v>105</v>
      </c>
      <c r="F73" s="91" t="s">
        <v>302</v>
      </c>
      <c r="G73" s="104" t="s">
        <v>377</v>
      </c>
      <c r="H73" s="104" t="s">
        <v>377</v>
      </c>
      <c r="I73" s="85" t="s">
        <v>314</v>
      </c>
      <c r="J73" s="57"/>
      <c r="K73" s="58"/>
      <c r="M73" s="19"/>
      <c r="T73" s="20"/>
    </row>
    <row r="74" spans="1:20" s="18" customFormat="1" ht="25.5" x14ac:dyDescent="0.2">
      <c r="A74" s="110"/>
      <c r="B74" s="72"/>
      <c r="C74" s="72"/>
      <c r="D74" s="72"/>
      <c r="E74" s="66" t="s">
        <v>133</v>
      </c>
      <c r="F74" s="85" t="s">
        <v>302</v>
      </c>
      <c r="G74" s="85" t="s">
        <v>379</v>
      </c>
      <c r="H74" s="104" t="s">
        <v>388</v>
      </c>
      <c r="I74" s="85" t="s">
        <v>318</v>
      </c>
      <c r="J74" s="57"/>
      <c r="K74" s="58"/>
      <c r="M74" s="19"/>
      <c r="T74" s="20"/>
    </row>
    <row r="75" spans="1:20" s="18" customFormat="1" ht="12.75" customHeight="1" x14ac:dyDescent="0.2">
      <c r="A75" s="110"/>
      <c r="B75" s="72"/>
      <c r="C75" s="72"/>
      <c r="D75" s="72"/>
      <c r="E75" s="66" t="s">
        <v>109</v>
      </c>
      <c r="F75" s="85" t="s">
        <v>302</v>
      </c>
      <c r="G75" s="85" t="s">
        <v>380</v>
      </c>
      <c r="H75" s="85" t="s">
        <v>354</v>
      </c>
      <c r="I75" s="85" t="s">
        <v>319</v>
      </c>
      <c r="J75" s="57"/>
      <c r="K75" s="58"/>
      <c r="M75" s="19"/>
      <c r="T75" s="20"/>
    </row>
    <row r="76" spans="1:20" s="18" customFormat="1" ht="12.75" customHeight="1" x14ac:dyDescent="0.2">
      <c r="A76" s="110"/>
      <c r="B76" s="72"/>
      <c r="C76" s="72"/>
      <c r="D76" s="72"/>
      <c r="E76" s="66" t="s">
        <v>150</v>
      </c>
      <c r="F76" s="85" t="s">
        <v>302</v>
      </c>
      <c r="G76" s="85" t="s">
        <v>302</v>
      </c>
      <c r="H76" s="85" t="s">
        <v>353</v>
      </c>
      <c r="I76" s="85" t="s">
        <v>306</v>
      </c>
      <c r="J76" s="57"/>
      <c r="K76" s="58"/>
      <c r="M76" s="19"/>
      <c r="T76" s="20"/>
    </row>
    <row r="77" spans="1:20" s="18" customFormat="1" ht="12.75" customHeight="1" x14ac:dyDescent="0.2">
      <c r="A77" s="110"/>
      <c r="B77" s="72"/>
      <c r="C77" s="72"/>
      <c r="D77" s="72"/>
      <c r="E77" s="66" t="s">
        <v>149</v>
      </c>
      <c r="F77" s="85" t="s">
        <v>302</v>
      </c>
      <c r="G77" s="85" t="s">
        <v>302</v>
      </c>
      <c r="H77" s="85" t="s">
        <v>365</v>
      </c>
      <c r="I77" s="85" t="s">
        <v>320</v>
      </c>
      <c r="J77" s="57"/>
      <c r="K77" s="58"/>
      <c r="M77" s="19"/>
      <c r="T77" s="20"/>
    </row>
    <row r="78" spans="1:20" s="18" customFormat="1" ht="12.75" customHeight="1" x14ac:dyDescent="0.2">
      <c r="A78" s="110"/>
      <c r="B78" s="72"/>
      <c r="C78" s="72"/>
      <c r="D78" s="72"/>
      <c r="E78" s="66" t="s">
        <v>101</v>
      </c>
      <c r="F78" s="85" t="s">
        <v>302</v>
      </c>
      <c r="G78" s="85" t="s">
        <v>302</v>
      </c>
      <c r="H78" s="85" t="s">
        <v>302</v>
      </c>
      <c r="I78" s="85"/>
      <c r="J78" s="57"/>
      <c r="K78" s="58"/>
      <c r="M78" s="19"/>
      <c r="T78" s="20"/>
    </row>
    <row r="79" spans="1:20" s="18" customFormat="1" ht="12.75" customHeight="1" x14ac:dyDescent="0.2">
      <c r="A79" s="110"/>
      <c r="B79" s="72"/>
      <c r="C79" s="72"/>
      <c r="D79" s="72"/>
      <c r="E79" s="66" t="s">
        <v>148</v>
      </c>
      <c r="F79" s="85" t="s">
        <v>304</v>
      </c>
      <c r="G79" s="85" t="s">
        <v>304</v>
      </c>
      <c r="H79" s="85" t="s">
        <v>304</v>
      </c>
      <c r="I79" s="85"/>
      <c r="J79" s="57"/>
      <c r="K79" s="58"/>
      <c r="M79" s="19"/>
      <c r="T79" s="20"/>
    </row>
    <row r="80" spans="1:20" s="18" customFormat="1" ht="12.75" customHeight="1" x14ac:dyDescent="0.2">
      <c r="A80" s="110"/>
      <c r="B80" s="72"/>
      <c r="C80" s="72"/>
      <c r="D80" s="72"/>
      <c r="E80" s="66" t="s">
        <v>77</v>
      </c>
      <c r="F80" s="85" t="s">
        <v>302</v>
      </c>
      <c r="G80" s="85" t="s">
        <v>302</v>
      </c>
      <c r="H80" s="85" t="s">
        <v>302</v>
      </c>
      <c r="I80" s="85"/>
      <c r="J80" s="57"/>
      <c r="K80" s="58"/>
      <c r="M80" s="19"/>
      <c r="T80" s="20"/>
    </row>
    <row r="81" spans="1:20" s="18" customFormat="1" ht="12.75" customHeight="1" x14ac:dyDescent="0.2">
      <c r="A81" s="110"/>
      <c r="B81" s="72"/>
      <c r="C81" s="72"/>
      <c r="D81" s="72"/>
      <c r="E81" s="66" t="s">
        <v>76</v>
      </c>
      <c r="F81" s="85" t="s">
        <v>302</v>
      </c>
      <c r="G81" s="85" t="s">
        <v>353</v>
      </c>
      <c r="H81" s="85" t="s">
        <v>354</v>
      </c>
      <c r="I81" s="85" t="s">
        <v>308</v>
      </c>
      <c r="J81" s="57"/>
      <c r="K81" s="58"/>
      <c r="M81" s="19"/>
      <c r="T81" s="20"/>
    </row>
    <row r="82" spans="1:20" s="18" customFormat="1" ht="12.75" customHeight="1" x14ac:dyDescent="0.2">
      <c r="A82" s="110"/>
      <c r="B82" s="72"/>
      <c r="C82" s="72"/>
      <c r="D82" s="72"/>
      <c r="E82" s="66" t="s">
        <v>75</v>
      </c>
      <c r="F82" s="85" t="s">
        <v>304</v>
      </c>
      <c r="G82" s="85" t="s">
        <v>354</v>
      </c>
      <c r="H82" s="85" t="s">
        <v>365</v>
      </c>
      <c r="I82" s="85" t="s">
        <v>322</v>
      </c>
      <c r="J82" s="57"/>
      <c r="K82" s="58"/>
      <c r="M82" s="19"/>
      <c r="T82" s="20"/>
    </row>
    <row r="83" spans="1:20" s="18" customFormat="1" ht="12.75" customHeight="1" x14ac:dyDescent="0.2">
      <c r="A83" s="110"/>
      <c r="B83" s="72"/>
      <c r="C83" s="72"/>
      <c r="D83" s="72"/>
      <c r="E83" s="66" t="s">
        <v>147</v>
      </c>
      <c r="F83" s="85" t="s">
        <v>302</v>
      </c>
      <c r="G83" s="85" t="s">
        <v>354</v>
      </c>
      <c r="H83" s="85" t="s">
        <v>365</v>
      </c>
      <c r="I83" s="85" t="s">
        <v>322</v>
      </c>
      <c r="J83" s="57"/>
      <c r="K83" s="58"/>
      <c r="M83" s="19"/>
      <c r="T83" s="20"/>
    </row>
    <row r="84" spans="1:20" s="18" customFormat="1" ht="12.75" customHeight="1" x14ac:dyDescent="0.2">
      <c r="A84" s="110"/>
      <c r="B84" s="72"/>
      <c r="C84" s="72"/>
      <c r="D84" s="72"/>
      <c r="E84" s="66" t="s">
        <v>146</v>
      </c>
      <c r="F84" s="85" t="s">
        <v>302</v>
      </c>
      <c r="G84" s="85" t="s">
        <v>302</v>
      </c>
      <c r="H84" s="85" t="s">
        <v>302</v>
      </c>
      <c r="I84" s="85"/>
      <c r="J84" s="57"/>
      <c r="K84" s="58"/>
      <c r="M84" s="19"/>
      <c r="T84" s="20"/>
    </row>
    <row r="85" spans="1:20" s="18" customFormat="1" ht="12.75" customHeight="1" x14ac:dyDescent="0.2">
      <c r="A85" s="110"/>
      <c r="B85" s="72"/>
      <c r="C85" s="72"/>
      <c r="D85" s="72"/>
      <c r="E85" s="66" t="s">
        <v>74</v>
      </c>
      <c r="F85" s="85" t="s">
        <v>304</v>
      </c>
      <c r="G85" s="85" t="s">
        <v>302</v>
      </c>
      <c r="H85" s="85" t="s">
        <v>302</v>
      </c>
      <c r="I85" s="85"/>
      <c r="J85" s="57"/>
      <c r="K85" s="58"/>
      <c r="M85" s="19"/>
      <c r="T85" s="20"/>
    </row>
    <row r="86" spans="1:20" s="18" customFormat="1" ht="12.75" customHeight="1" x14ac:dyDescent="0.2">
      <c r="A86" s="110"/>
      <c r="B86" s="72"/>
      <c r="C86" s="72"/>
      <c r="D86" s="72"/>
      <c r="E86" s="66" t="s">
        <v>73</v>
      </c>
      <c r="F86" s="85" t="s">
        <v>302</v>
      </c>
      <c r="G86" s="85" t="s">
        <v>302</v>
      </c>
      <c r="H86" s="85" t="s">
        <v>302</v>
      </c>
      <c r="I86" s="85"/>
      <c r="J86" s="57"/>
      <c r="K86" s="58"/>
      <c r="M86" s="19"/>
      <c r="T86" s="20"/>
    </row>
    <row r="87" spans="1:20" s="18" customFormat="1" ht="12.75" customHeight="1" x14ac:dyDescent="0.2">
      <c r="A87" s="110"/>
      <c r="B87" s="72"/>
      <c r="C87" s="72"/>
      <c r="D87" s="72"/>
      <c r="E87" s="66" t="s">
        <v>69</v>
      </c>
      <c r="F87" s="85" t="s">
        <v>304</v>
      </c>
      <c r="G87" s="85" t="s">
        <v>302</v>
      </c>
      <c r="H87" s="85" t="s">
        <v>302</v>
      </c>
      <c r="I87" s="85"/>
      <c r="J87" s="57"/>
      <c r="K87" s="58"/>
      <c r="M87" s="19"/>
      <c r="T87" s="20"/>
    </row>
    <row r="88" spans="1:20" s="18" customFormat="1" ht="12.75" customHeight="1" x14ac:dyDescent="0.2">
      <c r="A88" s="110"/>
      <c r="B88" s="72"/>
      <c r="C88" s="72"/>
      <c r="D88" s="72"/>
      <c r="E88" s="66" t="s">
        <v>66</v>
      </c>
      <c r="F88" s="85" t="s">
        <v>304</v>
      </c>
      <c r="G88" s="85" t="s">
        <v>302</v>
      </c>
      <c r="H88" s="85" t="s">
        <v>302</v>
      </c>
      <c r="I88" s="85"/>
      <c r="J88" s="57"/>
      <c r="K88" s="58"/>
      <c r="M88" s="19"/>
      <c r="T88" s="20"/>
    </row>
    <row r="89" spans="1:20" s="18" customFormat="1" ht="12.75" customHeight="1" x14ac:dyDescent="0.2">
      <c r="A89" s="110"/>
      <c r="B89" s="72"/>
      <c r="C89" s="72"/>
      <c r="D89" s="72"/>
      <c r="E89" s="105" t="s">
        <v>58</v>
      </c>
      <c r="F89" s="85" t="s">
        <v>304</v>
      </c>
      <c r="G89" s="85" t="s">
        <v>304</v>
      </c>
      <c r="H89" s="85" t="s">
        <v>304</v>
      </c>
      <c r="I89" s="85"/>
      <c r="J89" s="57"/>
      <c r="K89" s="57"/>
      <c r="M89" s="19"/>
      <c r="T89" s="20"/>
    </row>
    <row r="90" spans="1:20" s="18" customFormat="1" ht="12.75" customHeight="1" thickBot="1" x14ac:dyDescent="0.25">
      <c r="A90" s="110"/>
      <c r="B90" s="72"/>
      <c r="C90" s="72"/>
      <c r="D90" s="72"/>
      <c r="E90" s="60" t="s">
        <v>18</v>
      </c>
      <c r="F90" s="92" t="s">
        <v>304</v>
      </c>
      <c r="G90" s="92" t="s">
        <v>302</v>
      </c>
      <c r="H90" s="92" t="s">
        <v>302</v>
      </c>
      <c r="I90" s="85"/>
      <c r="J90" s="57"/>
      <c r="K90" s="58"/>
      <c r="M90" s="19"/>
      <c r="T90" s="20"/>
    </row>
    <row r="91" spans="1:20" s="18" customFormat="1" ht="12.75" customHeight="1" x14ac:dyDescent="0.2">
      <c r="A91" s="53">
        <v>60</v>
      </c>
      <c r="B91" s="53" t="s">
        <v>145</v>
      </c>
      <c r="C91" s="53" t="s">
        <v>302</v>
      </c>
      <c r="D91" s="53"/>
      <c r="E91" s="67" t="s">
        <v>144</v>
      </c>
      <c r="F91" s="91" t="s">
        <v>302</v>
      </c>
      <c r="G91" s="91" t="s">
        <v>302</v>
      </c>
      <c r="H91" s="91" t="s">
        <v>302</v>
      </c>
      <c r="I91" s="85"/>
      <c r="J91" s="57"/>
      <c r="K91" s="58"/>
      <c r="M91" s="19"/>
      <c r="T91" s="20"/>
    </row>
    <row r="92" spans="1:20" s="18" customFormat="1" ht="12.75" customHeight="1" x14ac:dyDescent="0.2">
      <c r="A92" s="53"/>
      <c r="B92" s="53"/>
      <c r="C92" s="53"/>
      <c r="D92" s="53"/>
      <c r="E92" s="105" t="s">
        <v>143</v>
      </c>
      <c r="F92" s="85" t="s">
        <v>304</v>
      </c>
      <c r="G92" s="85" t="s">
        <v>304</v>
      </c>
      <c r="H92" s="85" t="s">
        <v>304</v>
      </c>
      <c r="I92" s="85"/>
      <c r="J92" s="57"/>
      <c r="K92" s="57"/>
      <c r="M92" s="19"/>
      <c r="T92" s="20"/>
    </row>
    <row r="93" spans="1:20" s="18" customFormat="1" ht="12.75" customHeight="1" x14ac:dyDescent="0.2">
      <c r="A93" s="53"/>
      <c r="B93" s="53"/>
      <c r="C93" s="53"/>
      <c r="D93" s="53"/>
      <c r="E93" s="105" t="s">
        <v>142</v>
      </c>
      <c r="F93" s="85" t="s">
        <v>304</v>
      </c>
      <c r="G93" s="85" t="s">
        <v>304</v>
      </c>
      <c r="H93" s="85" t="s">
        <v>304</v>
      </c>
      <c r="I93" s="85"/>
      <c r="J93" s="57"/>
      <c r="K93" s="57"/>
      <c r="M93" s="19"/>
      <c r="T93" s="20"/>
    </row>
    <row r="94" spans="1:20" s="18" customFormat="1" ht="12.75" customHeight="1" x14ac:dyDescent="0.2">
      <c r="A94" s="53"/>
      <c r="B94" s="53"/>
      <c r="C94" s="53"/>
      <c r="D94" s="53"/>
      <c r="E94" s="105" t="s">
        <v>141</v>
      </c>
      <c r="F94" s="85" t="s">
        <v>304</v>
      </c>
      <c r="G94" s="85" t="s">
        <v>304</v>
      </c>
      <c r="H94" s="85" t="s">
        <v>304</v>
      </c>
      <c r="I94" s="85"/>
      <c r="J94" s="57"/>
      <c r="K94" s="57"/>
      <c r="M94" s="19"/>
      <c r="T94" s="20"/>
    </row>
    <row r="95" spans="1:20" s="18" customFormat="1" ht="12.75" customHeight="1" x14ac:dyDescent="0.2">
      <c r="A95" s="53"/>
      <c r="B95" s="53"/>
      <c r="C95" s="53"/>
      <c r="D95" s="53"/>
      <c r="E95" s="66" t="s">
        <v>140</v>
      </c>
      <c r="F95" s="85" t="s">
        <v>302</v>
      </c>
      <c r="G95" s="85" t="s">
        <v>302</v>
      </c>
      <c r="H95" s="85" t="s">
        <v>302</v>
      </c>
      <c r="I95" s="85"/>
      <c r="J95" s="57"/>
      <c r="K95" s="58"/>
      <c r="M95" s="19"/>
      <c r="T95" s="20"/>
    </row>
    <row r="96" spans="1:20" s="18" customFormat="1" ht="12.75" customHeight="1" x14ac:dyDescent="0.2">
      <c r="A96" s="53"/>
      <c r="B96" s="53"/>
      <c r="C96" s="53"/>
      <c r="D96" s="53"/>
      <c r="E96" s="66" t="s">
        <v>139</v>
      </c>
      <c r="F96" s="85" t="s">
        <v>302</v>
      </c>
      <c r="G96" s="85" t="s">
        <v>353</v>
      </c>
      <c r="H96" s="85" t="s">
        <v>354</v>
      </c>
      <c r="I96" s="85" t="s">
        <v>308</v>
      </c>
      <c r="J96" s="57"/>
      <c r="K96" s="58"/>
      <c r="M96" s="19"/>
      <c r="T96" s="20"/>
    </row>
    <row r="97" spans="1:20" s="18" customFormat="1" ht="12.75" customHeight="1" x14ac:dyDescent="0.2">
      <c r="A97" s="53"/>
      <c r="B97" s="53"/>
      <c r="C97" s="53"/>
      <c r="D97" s="53"/>
      <c r="E97" s="66" t="s">
        <v>135</v>
      </c>
      <c r="F97" s="85" t="s">
        <v>302</v>
      </c>
      <c r="G97" s="85" t="s">
        <v>302</v>
      </c>
      <c r="H97" s="85" t="s">
        <v>302</v>
      </c>
      <c r="I97" s="85"/>
      <c r="J97" s="57"/>
      <c r="K97" s="58"/>
      <c r="M97" s="19"/>
      <c r="T97" s="20"/>
    </row>
    <row r="98" spans="1:20" s="18" customFormat="1" ht="12.75" customHeight="1" x14ac:dyDescent="0.2">
      <c r="A98" s="53"/>
      <c r="B98" s="53"/>
      <c r="C98" s="53"/>
      <c r="D98" s="53"/>
      <c r="E98" s="66" t="s">
        <v>138</v>
      </c>
      <c r="F98" s="85" t="s">
        <v>302</v>
      </c>
      <c r="G98" s="85" t="s">
        <v>302</v>
      </c>
      <c r="H98" s="85" t="s">
        <v>302</v>
      </c>
      <c r="I98" s="85"/>
      <c r="J98" s="57"/>
      <c r="K98" s="58"/>
      <c r="M98" s="19"/>
      <c r="T98" s="20"/>
    </row>
    <row r="99" spans="1:20" s="18" customFormat="1" ht="12.75" customHeight="1" x14ac:dyDescent="0.2">
      <c r="A99" s="53"/>
      <c r="B99" s="53"/>
      <c r="C99" s="53"/>
      <c r="D99" s="53"/>
      <c r="E99" s="105" t="s">
        <v>137</v>
      </c>
      <c r="F99" s="85" t="s">
        <v>304</v>
      </c>
      <c r="G99" s="85" t="s">
        <v>304</v>
      </c>
      <c r="H99" s="85" t="s">
        <v>304</v>
      </c>
      <c r="I99" s="85"/>
      <c r="J99" s="57"/>
      <c r="K99" s="57"/>
      <c r="M99" s="19"/>
      <c r="T99" s="20"/>
    </row>
    <row r="100" spans="1:20" s="18" customFormat="1" ht="12.75" customHeight="1" thickBot="1" x14ac:dyDescent="0.25">
      <c r="A100" s="53"/>
      <c r="B100" s="53"/>
      <c r="C100" s="53"/>
      <c r="D100" s="53"/>
      <c r="E100" s="108" t="s">
        <v>136</v>
      </c>
      <c r="F100" s="92" t="s">
        <v>304</v>
      </c>
      <c r="G100" s="92" t="s">
        <v>304</v>
      </c>
      <c r="H100" s="92" t="s">
        <v>304</v>
      </c>
      <c r="I100" s="85"/>
      <c r="J100" s="57"/>
      <c r="K100" s="57"/>
      <c r="M100" s="19"/>
      <c r="T100" s="20"/>
    </row>
    <row r="101" spans="1:20" s="18" customFormat="1" ht="12.75" customHeight="1" x14ac:dyDescent="0.2">
      <c r="A101" s="53">
        <v>70</v>
      </c>
      <c r="B101" s="53" t="s">
        <v>200</v>
      </c>
      <c r="C101" s="53" t="s">
        <v>302</v>
      </c>
      <c r="D101" s="53"/>
      <c r="E101" s="67" t="s">
        <v>135</v>
      </c>
      <c r="F101" s="91" t="s">
        <v>302</v>
      </c>
      <c r="G101" s="91" t="s">
        <v>302</v>
      </c>
      <c r="H101" s="91" t="s">
        <v>302</v>
      </c>
      <c r="I101" s="85"/>
      <c r="J101" s="57"/>
      <c r="K101" s="58"/>
      <c r="M101" s="19"/>
      <c r="T101" s="20"/>
    </row>
    <row r="102" spans="1:20" s="18" customFormat="1" ht="12.75" customHeight="1" x14ac:dyDescent="0.2">
      <c r="A102" s="53"/>
      <c r="B102" s="53"/>
      <c r="C102" s="53"/>
      <c r="D102" s="53"/>
      <c r="E102" s="107" t="s">
        <v>134</v>
      </c>
      <c r="F102" s="85" t="s">
        <v>302</v>
      </c>
      <c r="G102" s="85" t="s">
        <v>302</v>
      </c>
      <c r="H102" s="85" t="s">
        <v>302</v>
      </c>
      <c r="I102" s="85"/>
      <c r="J102" s="57"/>
      <c r="K102" s="58"/>
      <c r="M102" s="19"/>
      <c r="T102" s="20"/>
    </row>
    <row r="103" spans="1:20" s="18" customFormat="1" ht="25.5" x14ac:dyDescent="0.2">
      <c r="A103" s="53"/>
      <c r="B103" s="53"/>
      <c r="C103" s="53"/>
      <c r="D103" s="53"/>
      <c r="E103" s="66" t="s">
        <v>133</v>
      </c>
      <c r="F103" s="85" t="s">
        <v>302</v>
      </c>
      <c r="G103" s="85" t="s">
        <v>379</v>
      </c>
      <c r="H103" s="104" t="s">
        <v>388</v>
      </c>
      <c r="I103" s="85" t="s">
        <v>318</v>
      </c>
      <c r="J103" s="57"/>
      <c r="K103" s="58"/>
      <c r="M103" s="19"/>
      <c r="T103" s="20"/>
    </row>
    <row r="104" spans="1:20" s="18" customFormat="1" ht="12.75" customHeight="1" x14ac:dyDescent="0.2">
      <c r="A104" s="53"/>
      <c r="B104" s="53"/>
      <c r="C104" s="53"/>
      <c r="D104" s="53"/>
      <c r="E104" s="66" t="s">
        <v>109</v>
      </c>
      <c r="F104" s="85" t="s">
        <v>302</v>
      </c>
      <c r="G104" s="85" t="s">
        <v>380</v>
      </c>
      <c r="H104" s="85" t="s">
        <v>354</v>
      </c>
      <c r="I104" s="85" t="s">
        <v>319</v>
      </c>
      <c r="J104" s="57"/>
      <c r="K104" s="58"/>
      <c r="M104" s="19"/>
      <c r="T104" s="20"/>
    </row>
    <row r="105" spans="1:20" s="18" customFormat="1" ht="12.75" customHeight="1" x14ac:dyDescent="0.2">
      <c r="A105" s="53"/>
      <c r="B105" s="53"/>
      <c r="C105" s="53"/>
      <c r="D105" s="53"/>
      <c r="E105" s="66" t="s">
        <v>132</v>
      </c>
      <c r="F105" s="85" t="s">
        <v>302</v>
      </c>
      <c r="G105" s="85" t="s">
        <v>302</v>
      </c>
      <c r="H105" s="85" t="s">
        <v>365</v>
      </c>
      <c r="I105" s="85" t="s">
        <v>320</v>
      </c>
      <c r="J105" s="57"/>
      <c r="K105" s="58"/>
      <c r="M105" s="19"/>
      <c r="T105" s="20"/>
    </row>
    <row r="106" spans="1:20" s="18" customFormat="1" ht="12.75" customHeight="1" x14ac:dyDescent="0.2">
      <c r="A106" s="53"/>
      <c r="B106" s="53"/>
      <c r="C106" s="53"/>
      <c r="D106" s="53"/>
      <c r="E106" s="66" t="s">
        <v>60</v>
      </c>
      <c r="F106" s="85" t="s">
        <v>302</v>
      </c>
      <c r="G106" s="85" t="s">
        <v>381</v>
      </c>
      <c r="H106" s="85" t="s">
        <v>365</v>
      </c>
      <c r="I106" s="85" t="s">
        <v>321</v>
      </c>
      <c r="J106" s="57"/>
      <c r="K106" s="58"/>
      <c r="M106" s="19"/>
      <c r="T106" s="20"/>
    </row>
    <row r="107" spans="1:20" s="18" customFormat="1" ht="12.75" customHeight="1" x14ac:dyDescent="0.2">
      <c r="A107" s="53"/>
      <c r="B107" s="53"/>
      <c r="C107" s="53"/>
      <c r="D107" s="53"/>
      <c r="E107" s="66" t="s">
        <v>41</v>
      </c>
      <c r="F107" s="85" t="s">
        <v>302</v>
      </c>
      <c r="G107" s="85" t="s">
        <v>302</v>
      </c>
      <c r="H107" s="85" t="s">
        <v>302</v>
      </c>
      <c r="I107" s="85"/>
      <c r="J107" s="57"/>
      <c r="K107" s="58"/>
      <c r="M107" s="19"/>
      <c r="T107" s="20"/>
    </row>
    <row r="108" spans="1:20" s="18" customFormat="1" ht="12.75" customHeight="1" x14ac:dyDescent="0.2">
      <c r="A108" s="53"/>
      <c r="B108" s="53"/>
      <c r="C108" s="53"/>
      <c r="D108" s="53"/>
      <c r="E108" s="66" t="s">
        <v>40</v>
      </c>
      <c r="F108" s="85" t="s">
        <v>302</v>
      </c>
      <c r="G108" s="85" t="s">
        <v>353</v>
      </c>
      <c r="H108" s="85" t="s">
        <v>365</v>
      </c>
      <c r="I108" s="85" t="s">
        <v>323</v>
      </c>
      <c r="J108" s="57"/>
      <c r="K108" s="58"/>
      <c r="M108" s="19"/>
      <c r="T108" s="20"/>
    </row>
    <row r="109" spans="1:20" s="18" customFormat="1" ht="12.75" customHeight="1" x14ac:dyDescent="0.2">
      <c r="A109" s="53"/>
      <c r="B109" s="53"/>
      <c r="C109" s="53"/>
      <c r="D109" s="53"/>
      <c r="E109" s="66" t="s">
        <v>39</v>
      </c>
      <c r="F109" s="85" t="s">
        <v>302</v>
      </c>
      <c r="G109" s="85" t="s">
        <v>302</v>
      </c>
      <c r="H109" s="85" t="s">
        <v>353</v>
      </c>
      <c r="I109" s="85" t="s">
        <v>306</v>
      </c>
      <c r="J109" s="57"/>
      <c r="K109" s="58"/>
      <c r="M109" s="19"/>
      <c r="T109" s="20"/>
    </row>
    <row r="110" spans="1:20" s="18" customFormat="1" ht="12.75" customHeight="1" x14ac:dyDescent="0.2">
      <c r="A110" s="53"/>
      <c r="B110" s="53"/>
      <c r="C110" s="53"/>
      <c r="D110" s="53"/>
      <c r="E110" s="66" t="s">
        <v>131</v>
      </c>
      <c r="F110" s="85" t="s">
        <v>302</v>
      </c>
      <c r="G110" s="85" t="s">
        <v>353</v>
      </c>
      <c r="H110" s="85" t="s">
        <v>391</v>
      </c>
      <c r="I110" s="85" t="s">
        <v>324</v>
      </c>
      <c r="J110" s="57"/>
      <c r="K110" s="58"/>
      <c r="M110" s="19"/>
      <c r="T110" s="20"/>
    </row>
    <row r="111" spans="1:20" s="18" customFormat="1" ht="12.75" customHeight="1" x14ac:dyDescent="0.2">
      <c r="A111" s="53"/>
      <c r="B111" s="53"/>
      <c r="C111" s="53"/>
      <c r="D111" s="53"/>
      <c r="E111" s="66" t="s">
        <v>90</v>
      </c>
      <c r="F111" s="85" t="s">
        <v>304</v>
      </c>
      <c r="G111" s="85" t="s">
        <v>382</v>
      </c>
      <c r="H111" s="85" t="s">
        <v>365</v>
      </c>
      <c r="I111" s="85" t="s">
        <v>325</v>
      </c>
      <c r="J111" s="57"/>
      <c r="K111" s="58"/>
      <c r="M111" s="19"/>
      <c r="T111" s="20"/>
    </row>
    <row r="112" spans="1:20" s="18" customFormat="1" ht="25.5" x14ac:dyDescent="0.2">
      <c r="A112" s="53"/>
      <c r="B112" s="53"/>
      <c r="C112" s="53"/>
      <c r="D112" s="53"/>
      <c r="E112" s="66" t="s">
        <v>130</v>
      </c>
      <c r="F112" s="85" t="s">
        <v>304</v>
      </c>
      <c r="G112" s="85" t="s">
        <v>383</v>
      </c>
      <c r="H112" s="104" t="s">
        <v>392</v>
      </c>
      <c r="I112" s="85" t="s">
        <v>326</v>
      </c>
      <c r="J112" s="57"/>
      <c r="K112" s="58"/>
      <c r="M112" s="19"/>
      <c r="T112" s="20"/>
    </row>
    <row r="113" spans="1:20" s="18" customFormat="1" ht="12.75" customHeight="1" x14ac:dyDescent="0.2">
      <c r="A113" s="53"/>
      <c r="B113" s="53"/>
      <c r="C113" s="53"/>
      <c r="D113" s="53"/>
      <c r="E113" s="66" t="s">
        <v>129</v>
      </c>
      <c r="F113" s="85" t="s">
        <v>304</v>
      </c>
      <c r="G113" s="85" t="s">
        <v>354</v>
      </c>
      <c r="H113" s="104" t="s">
        <v>375</v>
      </c>
      <c r="I113" s="85" t="s">
        <v>327</v>
      </c>
      <c r="J113" s="57"/>
      <c r="K113" s="58"/>
      <c r="M113" s="19"/>
      <c r="T113" s="20"/>
    </row>
    <row r="114" spans="1:20" s="18" customFormat="1" ht="12.75" customHeight="1" x14ac:dyDescent="0.2">
      <c r="A114" s="53"/>
      <c r="B114" s="53"/>
      <c r="C114" s="53"/>
      <c r="D114" s="53"/>
      <c r="E114" s="66" t="s">
        <v>128</v>
      </c>
      <c r="F114" s="85" t="s">
        <v>302</v>
      </c>
      <c r="G114" s="85" t="s">
        <v>353</v>
      </c>
      <c r="H114" s="85" t="s">
        <v>365</v>
      </c>
      <c r="I114" s="85" t="s">
        <v>323</v>
      </c>
      <c r="J114" s="57"/>
      <c r="K114" s="58"/>
      <c r="M114" s="19"/>
      <c r="T114" s="20"/>
    </row>
    <row r="115" spans="1:20" s="18" customFormat="1" ht="12.75" customHeight="1" x14ac:dyDescent="0.2">
      <c r="A115" s="53"/>
      <c r="B115" s="53"/>
      <c r="C115" s="53"/>
      <c r="D115" s="53"/>
      <c r="E115" s="66" t="s">
        <v>127</v>
      </c>
      <c r="F115" s="85" t="s">
        <v>302</v>
      </c>
      <c r="G115" s="85" t="s">
        <v>384</v>
      </c>
      <c r="H115" s="85" t="s">
        <v>389</v>
      </c>
      <c r="I115" s="85" t="s">
        <v>390</v>
      </c>
      <c r="J115" s="57"/>
      <c r="K115" s="58"/>
      <c r="M115" s="19"/>
      <c r="T115" s="20"/>
    </row>
    <row r="116" spans="1:20" s="18" customFormat="1" ht="12.75" customHeight="1" x14ac:dyDescent="0.2">
      <c r="A116" s="53"/>
      <c r="B116" s="53"/>
      <c r="C116" s="53"/>
      <c r="D116" s="53"/>
      <c r="E116" s="105" t="s">
        <v>126</v>
      </c>
      <c r="F116" s="85" t="s">
        <v>304</v>
      </c>
      <c r="G116" s="85" t="s">
        <v>304</v>
      </c>
      <c r="H116" s="85" t="s">
        <v>304</v>
      </c>
      <c r="I116" s="85"/>
      <c r="J116" s="57"/>
      <c r="K116" s="57"/>
      <c r="M116" s="19"/>
      <c r="T116" s="20"/>
    </row>
    <row r="117" spans="1:20" s="18" customFormat="1" ht="12.75" customHeight="1" x14ac:dyDescent="0.2">
      <c r="A117" s="53"/>
      <c r="B117" s="53"/>
      <c r="C117" s="53"/>
      <c r="D117" s="53"/>
      <c r="E117" s="107" t="s">
        <v>38</v>
      </c>
      <c r="F117" s="85" t="s">
        <v>302</v>
      </c>
      <c r="G117" s="85" t="s">
        <v>302</v>
      </c>
      <c r="H117" s="85" t="s">
        <v>302</v>
      </c>
      <c r="I117" s="85"/>
      <c r="J117" s="57"/>
      <c r="K117" s="58"/>
      <c r="M117" s="19"/>
      <c r="T117" s="20"/>
    </row>
    <row r="118" spans="1:20" s="18" customFormat="1" ht="12.75" customHeight="1" x14ac:dyDescent="0.2">
      <c r="A118" s="53"/>
      <c r="B118" s="53"/>
      <c r="C118" s="53"/>
      <c r="D118" s="53"/>
      <c r="E118" s="66" t="s">
        <v>37</v>
      </c>
      <c r="F118" s="85" t="s">
        <v>302</v>
      </c>
      <c r="G118" s="85" t="s">
        <v>302</v>
      </c>
      <c r="H118" s="85" t="s">
        <v>354</v>
      </c>
      <c r="I118" s="85" t="s">
        <v>309</v>
      </c>
      <c r="J118" s="57"/>
      <c r="K118" s="58"/>
      <c r="M118" s="19"/>
      <c r="T118" s="20"/>
    </row>
    <row r="119" spans="1:20" s="18" customFormat="1" ht="12.75" customHeight="1" x14ac:dyDescent="0.2">
      <c r="A119" s="53"/>
      <c r="B119" s="53"/>
      <c r="C119" s="53"/>
      <c r="D119" s="53"/>
      <c r="E119" s="66" t="s">
        <v>121</v>
      </c>
      <c r="F119" s="85" t="s">
        <v>304</v>
      </c>
      <c r="G119" s="85" t="s">
        <v>302</v>
      </c>
      <c r="H119" s="85" t="s">
        <v>353</v>
      </c>
      <c r="I119" s="85" t="s">
        <v>306</v>
      </c>
      <c r="J119" s="57"/>
      <c r="K119" s="58"/>
      <c r="M119" s="19"/>
      <c r="T119" s="20"/>
    </row>
    <row r="120" spans="1:20" s="18" customFormat="1" ht="12.75" customHeight="1" x14ac:dyDescent="0.2">
      <c r="A120" s="53"/>
      <c r="B120" s="53"/>
      <c r="C120" s="53"/>
      <c r="D120" s="53"/>
      <c r="E120" s="66" t="s">
        <v>120</v>
      </c>
      <c r="F120" s="85" t="s">
        <v>302</v>
      </c>
      <c r="G120" s="85" t="s">
        <v>353</v>
      </c>
      <c r="H120" s="85" t="s">
        <v>353</v>
      </c>
      <c r="I120" s="85" t="s">
        <v>328</v>
      </c>
      <c r="J120" s="57"/>
      <c r="K120" s="58"/>
      <c r="M120" s="19"/>
      <c r="T120" s="20"/>
    </row>
    <row r="121" spans="1:20" s="18" customFormat="1" ht="12.75" customHeight="1" x14ac:dyDescent="0.2">
      <c r="A121" s="53"/>
      <c r="B121" s="53"/>
      <c r="C121" s="53"/>
      <c r="D121" s="53"/>
      <c r="E121" s="66" t="s">
        <v>119</v>
      </c>
      <c r="F121" s="85" t="s">
        <v>302</v>
      </c>
      <c r="G121" s="85" t="s">
        <v>302</v>
      </c>
      <c r="H121" s="85" t="s">
        <v>353</v>
      </c>
      <c r="I121" s="85" t="s">
        <v>306</v>
      </c>
      <c r="J121" s="57"/>
      <c r="K121" s="58"/>
      <c r="M121" s="19"/>
      <c r="T121" s="20"/>
    </row>
    <row r="122" spans="1:20" s="18" customFormat="1" ht="12.75" customHeight="1" x14ac:dyDescent="0.2">
      <c r="A122" s="53"/>
      <c r="B122" s="53"/>
      <c r="C122" s="53"/>
      <c r="D122" s="53"/>
      <c r="E122" s="66" t="s">
        <v>118</v>
      </c>
      <c r="F122" s="85" t="s">
        <v>302</v>
      </c>
      <c r="G122" s="85" t="s">
        <v>353</v>
      </c>
      <c r="H122" s="85" t="s">
        <v>353</v>
      </c>
      <c r="I122" s="85" t="s">
        <v>328</v>
      </c>
      <c r="J122" s="57"/>
      <c r="K122" s="58"/>
      <c r="M122" s="19"/>
      <c r="T122" s="20"/>
    </row>
    <row r="123" spans="1:20" s="18" customFormat="1" ht="12.75" customHeight="1" x14ac:dyDescent="0.2">
      <c r="A123" s="53"/>
      <c r="B123" s="53"/>
      <c r="C123" s="53"/>
      <c r="D123" s="53"/>
      <c r="E123" s="66" t="s">
        <v>36</v>
      </c>
      <c r="F123" s="85" t="s">
        <v>302</v>
      </c>
      <c r="G123" s="85" t="s">
        <v>353</v>
      </c>
      <c r="H123" s="85" t="s">
        <v>353</v>
      </c>
      <c r="I123" s="85" t="s">
        <v>328</v>
      </c>
      <c r="J123" s="57"/>
      <c r="K123" s="58"/>
      <c r="M123" s="19"/>
      <c r="T123" s="20"/>
    </row>
    <row r="124" spans="1:20" s="18" customFormat="1" ht="12.75" customHeight="1" x14ac:dyDescent="0.2">
      <c r="A124" s="53"/>
      <c r="B124" s="53"/>
      <c r="C124" s="53"/>
      <c r="D124" s="53"/>
      <c r="E124" s="66" t="s">
        <v>35</v>
      </c>
      <c r="F124" s="85" t="s">
        <v>302</v>
      </c>
      <c r="G124" s="85" t="s">
        <v>302</v>
      </c>
      <c r="H124" s="85" t="s">
        <v>302</v>
      </c>
      <c r="I124" s="85"/>
      <c r="J124" s="57"/>
      <c r="K124" s="58"/>
      <c r="M124" s="19"/>
      <c r="T124" s="20"/>
    </row>
    <row r="125" spans="1:20" s="18" customFormat="1" ht="12.75" customHeight="1" x14ac:dyDescent="0.2">
      <c r="A125" s="53"/>
      <c r="B125" s="53"/>
      <c r="C125" s="53"/>
      <c r="D125" s="53"/>
      <c r="E125" s="105" t="s">
        <v>125</v>
      </c>
      <c r="F125" s="85" t="s">
        <v>304</v>
      </c>
      <c r="G125" s="85" t="s">
        <v>304</v>
      </c>
      <c r="H125" s="85" t="s">
        <v>304</v>
      </c>
      <c r="I125" s="85"/>
      <c r="J125" s="57"/>
      <c r="K125" s="57"/>
      <c r="M125" s="19"/>
      <c r="T125" s="20"/>
    </row>
    <row r="126" spans="1:20" s="18" customFormat="1" ht="12.75" customHeight="1" x14ac:dyDescent="0.2">
      <c r="A126" s="53"/>
      <c r="B126" s="53"/>
      <c r="C126" s="53"/>
      <c r="D126" s="53"/>
      <c r="E126" s="105" t="s">
        <v>124</v>
      </c>
      <c r="F126" s="85" t="s">
        <v>304</v>
      </c>
      <c r="G126" s="85" t="s">
        <v>304</v>
      </c>
      <c r="H126" s="85" t="s">
        <v>304</v>
      </c>
      <c r="I126" s="85"/>
      <c r="J126" s="57"/>
      <c r="K126" s="57"/>
      <c r="M126" s="19"/>
      <c r="T126" s="20"/>
    </row>
    <row r="127" spans="1:20" s="18" customFormat="1" ht="12.75" customHeight="1" x14ac:dyDescent="0.2">
      <c r="A127" s="53"/>
      <c r="B127" s="53"/>
      <c r="C127" s="53"/>
      <c r="D127" s="53"/>
      <c r="E127" s="66" t="s">
        <v>1</v>
      </c>
      <c r="F127" s="85" t="s">
        <v>302</v>
      </c>
      <c r="G127" s="85" t="s">
        <v>302</v>
      </c>
      <c r="H127" s="85" t="s">
        <v>302</v>
      </c>
      <c r="I127" s="85"/>
      <c r="J127" s="57"/>
      <c r="K127" s="58"/>
      <c r="M127" s="19"/>
      <c r="T127" s="20"/>
    </row>
    <row r="128" spans="1:20" s="18" customFormat="1" ht="12.75" customHeight="1" thickBot="1" x14ac:dyDescent="0.25">
      <c r="A128" s="53"/>
      <c r="B128" s="53"/>
      <c r="C128" s="53"/>
      <c r="D128" s="53"/>
      <c r="E128" s="60" t="s">
        <v>14</v>
      </c>
      <c r="F128" s="92" t="s">
        <v>302</v>
      </c>
      <c r="G128" s="92" t="s">
        <v>302</v>
      </c>
      <c r="H128" s="92" t="s">
        <v>302</v>
      </c>
      <c r="I128" s="85"/>
      <c r="J128" s="57"/>
      <c r="K128" s="58"/>
      <c r="M128" s="19"/>
      <c r="T128" s="20"/>
    </row>
    <row r="129" spans="1:20" s="18" customFormat="1" ht="12.75" customHeight="1" x14ac:dyDescent="0.2">
      <c r="A129" s="53">
        <v>80</v>
      </c>
      <c r="B129" s="53" t="s">
        <v>123</v>
      </c>
      <c r="C129" s="53" t="s">
        <v>302</v>
      </c>
      <c r="D129" s="53"/>
      <c r="E129" s="103" t="s">
        <v>46</v>
      </c>
      <c r="F129" s="91" t="s">
        <v>302</v>
      </c>
      <c r="G129" s="91" t="s">
        <v>302</v>
      </c>
      <c r="H129" s="91" t="s">
        <v>302</v>
      </c>
      <c r="I129" s="85"/>
      <c r="J129" s="57"/>
      <c r="K129" s="58"/>
      <c r="M129" s="19"/>
      <c r="T129" s="20"/>
    </row>
    <row r="130" spans="1:20" s="18" customFormat="1" ht="12.75" customHeight="1" x14ac:dyDescent="0.2">
      <c r="A130" s="53"/>
      <c r="B130" s="53"/>
      <c r="C130" s="53"/>
      <c r="D130" s="53"/>
      <c r="E130" s="66" t="s">
        <v>45</v>
      </c>
      <c r="F130" s="85" t="s">
        <v>302</v>
      </c>
      <c r="G130" s="85" t="s">
        <v>375</v>
      </c>
      <c r="H130" s="104" t="s">
        <v>375</v>
      </c>
      <c r="I130" s="85" t="s">
        <v>303</v>
      </c>
      <c r="J130" s="57"/>
      <c r="K130" s="58"/>
      <c r="M130" s="19"/>
      <c r="T130" s="20"/>
    </row>
    <row r="131" spans="1:20" s="18" customFormat="1" ht="12.75" customHeight="1" x14ac:dyDescent="0.2">
      <c r="A131" s="53"/>
      <c r="B131" s="53"/>
      <c r="C131" s="53"/>
      <c r="D131" s="53"/>
      <c r="E131" s="66" t="s">
        <v>106</v>
      </c>
      <c r="F131" s="85" t="s">
        <v>302</v>
      </c>
      <c r="G131" s="85" t="s">
        <v>353</v>
      </c>
      <c r="H131" s="85" t="s">
        <v>353</v>
      </c>
      <c r="I131" s="85" t="s">
        <v>328</v>
      </c>
      <c r="J131" s="57"/>
      <c r="K131" s="58"/>
      <c r="M131" s="19"/>
      <c r="T131" s="20"/>
    </row>
    <row r="132" spans="1:20" s="18" customFormat="1" ht="12.75" customHeight="1" x14ac:dyDescent="0.2">
      <c r="A132" s="53"/>
      <c r="B132" s="53"/>
      <c r="C132" s="53"/>
      <c r="D132" s="53"/>
      <c r="E132" s="66" t="s">
        <v>101</v>
      </c>
      <c r="F132" s="85" t="s">
        <v>302</v>
      </c>
      <c r="G132" s="85" t="s">
        <v>302</v>
      </c>
      <c r="H132" s="85" t="s">
        <v>302</v>
      </c>
      <c r="I132" s="85"/>
      <c r="J132" s="57"/>
      <c r="K132" s="58"/>
      <c r="M132" s="19"/>
      <c r="T132" s="20"/>
    </row>
    <row r="133" spans="1:20" s="18" customFormat="1" ht="26.25" thickBot="1" x14ac:dyDescent="0.25">
      <c r="A133" s="53"/>
      <c r="B133" s="53"/>
      <c r="C133" s="53"/>
      <c r="D133" s="53"/>
      <c r="E133" s="60" t="s">
        <v>79</v>
      </c>
      <c r="F133" s="92" t="s">
        <v>302</v>
      </c>
      <c r="G133" s="85" t="s">
        <v>353</v>
      </c>
      <c r="H133" s="104" t="s">
        <v>393</v>
      </c>
      <c r="I133" s="85" t="s">
        <v>330</v>
      </c>
      <c r="J133" s="57"/>
      <c r="K133" s="58"/>
      <c r="M133" s="19"/>
      <c r="T133" s="20"/>
    </row>
    <row r="134" spans="1:20" s="18" customFormat="1" ht="12.75" customHeight="1" x14ac:dyDescent="0.2">
      <c r="A134" s="53">
        <v>90</v>
      </c>
      <c r="B134" s="53" t="s">
        <v>206</v>
      </c>
      <c r="C134" s="53" t="s">
        <v>302</v>
      </c>
      <c r="D134" s="53"/>
      <c r="E134" s="67" t="s">
        <v>117</v>
      </c>
      <c r="F134" s="91" t="s">
        <v>304</v>
      </c>
      <c r="G134" s="91" t="s">
        <v>304</v>
      </c>
      <c r="H134" s="91" t="s">
        <v>302</v>
      </c>
      <c r="I134" s="85"/>
      <c r="J134" s="57"/>
      <c r="K134" s="58"/>
      <c r="M134" s="19"/>
      <c r="T134" s="20"/>
    </row>
    <row r="135" spans="1:20" s="18" customFormat="1" ht="12.75" customHeight="1" x14ac:dyDescent="0.2">
      <c r="A135" s="53"/>
      <c r="B135" s="53"/>
      <c r="C135" s="53"/>
      <c r="D135" s="53"/>
      <c r="E135" s="66" t="s">
        <v>6</v>
      </c>
      <c r="F135" s="85" t="s">
        <v>302</v>
      </c>
      <c r="G135" s="85" t="s">
        <v>302</v>
      </c>
      <c r="H135" s="85" t="s">
        <v>353</v>
      </c>
      <c r="I135" s="85" t="s">
        <v>306</v>
      </c>
      <c r="J135" s="57"/>
      <c r="K135" s="58"/>
      <c r="M135" s="19"/>
      <c r="T135" s="20"/>
    </row>
    <row r="136" spans="1:20" s="18" customFormat="1" ht="12.75" customHeight="1" x14ac:dyDescent="0.2">
      <c r="A136" s="53"/>
      <c r="B136" s="53"/>
      <c r="C136" s="53"/>
      <c r="D136" s="53"/>
      <c r="E136" s="66" t="s">
        <v>5</v>
      </c>
      <c r="F136" s="85" t="s">
        <v>302</v>
      </c>
      <c r="G136" s="85" t="s">
        <v>302</v>
      </c>
      <c r="H136" s="85" t="s">
        <v>302</v>
      </c>
      <c r="I136" s="85"/>
      <c r="J136" s="57"/>
      <c r="K136" s="58"/>
      <c r="M136" s="19"/>
      <c r="T136" s="20"/>
    </row>
    <row r="137" spans="1:20" s="18" customFormat="1" ht="12.75" customHeight="1" x14ac:dyDescent="0.2">
      <c r="A137" s="53"/>
      <c r="B137" s="53"/>
      <c r="C137" s="53"/>
      <c r="D137" s="53"/>
      <c r="E137" s="66" t="s">
        <v>9</v>
      </c>
      <c r="F137" s="85" t="s">
        <v>304</v>
      </c>
      <c r="G137" s="85" t="s">
        <v>302</v>
      </c>
      <c r="H137" s="85" t="s">
        <v>302</v>
      </c>
      <c r="I137" s="85"/>
      <c r="J137" s="57"/>
      <c r="K137" s="58"/>
      <c r="M137" s="19"/>
      <c r="T137" s="20"/>
    </row>
    <row r="138" spans="1:20" s="18" customFormat="1" ht="12.75" customHeight="1" x14ac:dyDescent="0.2">
      <c r="A138" s="53"/>
      <c r="B138" s="53"/>
      <c r="C138" s="53"/>
      <c r="D138" s="53"/>
      <c r="E138" s="66" t="s">
        <v>8</v>
      </c>
      <c r="F138" s="85" t="s">
        <v>304</v>
      </c>
      <c r="G138" s="85" t="s">
        <v>302</v>
      </c>
      <c r="H138" s="85" t="s">
        <v>302</v>
      </c>
      <c r="I138" s="85"/>
      <c r="J138" s="57"/>
      <c r="K138" s="58"/>
      <c r="M138" s="19"/>
      <c r="T138" s="20"/>
    </row>
    <row r="139" spans="1:20" s="18" customFormat="1" ht="12.75" customHeight="1" x14ac:dyDescent="0.2">
      <c r="A139" s="53"/>
      <c r="B139" s="53"/>
      <c r="C139" s="53"/>
      <c r="D139" s="53"/>
      <c r="E139" s="107" t="s">
        <v>1</v>
      </c>
      <c r="F139" s="85" t="s">
        <v>302</v>
      </c>
      <c r="G139" s="85" t="s">
        <v>302</v>
      </c>
      <c r="H139" s="85" t="s">
        <v>302</v>
      </c>
      <c r="I139" s="85"/>
      <c r="J139" s="57"/>
      <c r="K139" s="58"/>
      <c r="M139" s="19"/>
      <c r="T139" s="20"/>
    </row>
    <row r="140" spans="1:20" s="18" customFormat="1" ht="12.75" customHeight="1" x14ac:dyDescent="0.2">
      <c r="A140" s="53"/>
      <c r="B140" s="53"/>
      <c r="C140" s="53"/>
      <c r="D140" s="53"/>
      <c r="E140" s="66" t="s">
        <v>0</v>
      </c>
      <c r="F140" s="85" t="s">
        <v>302</v>
      </c>
      <c r="G140" s="85" t="s">
        <v>365</v>
      </c>
      <c r="H140" s="85" t="s">
        <v>365</v>
      </c>
      <c r="I140" s="85" t="s">
        <v>316</v>
      </c>
      <c r="J140" s="57"/>
      <c r="K140" s="58"/>
      <c r="M140" s="19"/>
      <c r="T140" s="20"/>
    </row>
    <row r="141" spans="1:20" s="18" customFormat="1" ht="12.75" customHeight="1" x14ac:dyDescent="0.2">
      <c r="A141" s="53"/>
      <c r="B141" s="53"/>
      <c r="C141" s="53"/>
      <c r="D141" s="53"/>
      <c r="E141" s="66" t="s">
        <v>21</v>
      </c>
      <c r="F141" s="85" t="s">
        <v>304</v>
      </c>
      <c r="G141" s="85" t="s">
        <v>353</v>
      </c>
      <c r="H141" s="85" t="s">
        <v>354</v>
      </c>
      <c r="I141" s="85" t="s">
        <v>308</v>
      </c>
      <c r="J141" s="57"/>
      <c r="K141" s="58"/>
      <c r="M141" s="19"/>
      <c r="T141" s="20"/>
    </row>
    <row r="142" spans="1:20" s="18" customFormat="1" ht="12.75" customHeight="1" thickBot="1" x14ac:dyDescent="0.25">
      <c r="A142" s="53"/>
      <c r="B142" s="53"/>
      <c r="C142" s="53"/>
      <c r="D142" s="53"/>
      <c r="E142" s="60" t="s">
        <v>19</v>
      </c>
      <c r="F142" s="92" t="s">
        <v>304</v>
      </c>
      <c r="G142" s="92" t="s">
        <v>302</v>
      </c>
      <c r="H142" s="92" t="s">
        <v>302</v>
      </c>
      <c r="I142" s="85"/>
      <c r="J142" s="57"/>
      <c r="K142" s="58"/>
      <c r="M142" s="19"/>
      <c r="T142" s="20"/>
    </row>
    <row r="143" spans="1:20" s="18" customFormat="1" ht="12.75" customHeight="1" x14ac:dyDescent="0.2">
      <c r="A143" s="53">
        <v>100</v>
      </c>
      <c r="B143" s="53" t="s">
        <v>122</v>
      </c>
      <c r="C143" s="53" t="s">
        <v>302</v>
      </c>
      <c r="D143" s="53"/>
      <c r="E143" s="67" t="s">
        <v>109</v>
      </c>
      <c r="F143" s="91" t="s">
        <v>302</v>
      </c>
      <c r="G143" s="85" t="s">
        <v>380</v>
      </c>
      <c r="H143" s="85" t="s">
        <v>354</v>
      </c>
      <c r="I143" s="85" t="s">
        <v>319</v>
      </c>
      <c r="J143" s="57"/>
      <c r="K143" s="58"/>
      <c r="M143" s="19"/>
      <c r="T143" s="20"/>
    </row>
    <row r="144" spans="1:20" s="18" customFormat="1" ht="12.75" customHeight="1" x14ac:dyDescent="0.2">
      <c r="A144" s="53"/>
      <c r="B144" s="53"/>
      <c r="C144" s="53"/>
      <c r="D144" s="53"/>
      <c r="E144" s="107" t="s">
        <v>38</v>
      </c>
      <c r="F144" s="85" t="s">
        <v>302</v>
      </c>
      <c r="G144" s="85" t="s">
        <v>302</v>
      </c>
      <c r="H144" s="85" t="s">
        <v>302</v>
      </c>
      <c r="I144" s="85"/>
      <c r="J144" s="57"/>
      <c r="K144" s="58"/>
      <c r="M144" s="19"/>
      <c r="T144" s="20"/>
    </row>
    <row r="145" spans="1:20" s="18" customFormat="1" ht="12.75" customHeight="1" x14ac:dyDescent="0.2">
      <c r="A145" s="53"/>
      <c r="B145" s="53"/>
      <c r="C145" s="53"/>
      <c r="D145" s="53"/>
      <c r="E145" s="66" t="s">
        <v>37</v>
      </c>
      <c r="F145" s="85" t="s">
        <v>302</v>
      </c>
      <c r="G145" s="85" t="s">
        <v>302</v>
      </c>
      <c r="H145" s="85" t="s">
        <v>354</v>
      </c>
      <c r="I145" s="85" t="s">
        <v>309</v>
      </c>
      <c r="J145" s="57"/>
      <c r="K145" s="58"/>
      <c r="M145" s="19"/>
      <c r="T145" s="20"/>
    </row>
    <row r="146" spans="1:20" s="18" customFormat="1" ht="12.75" customHeight="1" x14ac:dyDescent="0.2">
      <c r="A146" s="53"/>
      <c r="B146" s="53"/>
      <c r="C146" s="53"/>
      <c r="D146" s="53"/>
      <c r="E146" s="66" t="s">
        <v>121</v>
      </c>
      <c r="F146" s="85" t="s">
        <v>304</v>
      </c>
      <c r="G146" s="85" t="s">
        <v>302</v>
      </c>
      <c r="H146" s="85" t="s">
        <v>353</v>
      </c>
      <c r="I146" s="85" t="s">
        <v>306</v>
      </c>
      <c r="J146" s="57"/>
      <c r="K146" s="58"/>
      <c r="M146" s="19"/>
      <c r="T146" s="20"/>
    </row>
    <row r="147" spans="1:20" s="18" customFormat="1" ht="12.75" customHeight="1" x14ac:dyDescent="0.2">
      <c r="A147" s="53"/>
      <c r="B147" s="53"/>
      <c r="C147" s="53"/>
      <c r="D147" s="53"/>
      <c r="E147" s="66" t="s">
        <v>120</v>
      </c>
      <c r="F147" s="85" t="s">
        <v>302</v>
      </c>
      <c r="G147" s="85" t="s">
        <v>353</v>
      </c>
      <c r="H147" s="85" t="s">
        <v>353</v>
      </c>
      <c r="I147" s="85" t="s">
        <v>328</v>
      </c>
      <c r="J147" s="57"/>
      <c r="K147" s="58"/>
      <c r="M147" s="19"/>
      <c r="T147" s="20"/>
    </row>
    <row r="148" spans="1:20" s="18" customFormat="1" ht="12.75" customHeight="1" x14ac:dyDescent="0.2">
      <c r="A148" s="53"/>
      <c r="B148" s="53"/>
      <c r="C148" s="53"/>
      <c r="D148" s="53"/>
      <c r="E148" s="66" t="s">
        <v>119</v>
      </c>
      <c r="F148" s="85" t="s">
        <v>302</v>
      </c>
      <c r="G148" s="85" t="s">
        <v>302</v>
      </c>
      <c r="H148" s="85" t="s">
        <v>353</v>
      </c>
      <c r="I148" s="85" t="s">
        <v>306</v>
      </c>
      <c r="J148" s="57"/>
      <c r="K148" s="58"/>
      <c r="M148" s="19"/>
      <c r="T148" s="20"/>
    </row>
    <row r="149" spans="1:20" s="18" customFormat="1" ht="12.75" customHeight="1" x14ac:dyDescent="0.2">
      <c r="A149" s="53"/>
      <c r="B149" s="53"/>
      <c r="C149" s="53"/>
      <c r="D149" s="53"/>
      <c r="E149" s="66" t="s">
        <v>118</v>
      </c>
      <c r="F149" s="85" t="s">
        <v>302</v>
      </c>
      <c r="G149" s="85" t="s">
        <v>353</v>
      </c>
      <c r="H149" s="85" t="s">
        <v>353</v>
      </c>
      <c r="I149" s="85" t="s">
        <v>328</v>
      </c>
      <c r="J149" s="57"/>
      <c r="K149" s="58"/>
      <c r="M149" s="19"/>
      <c r="T149" s="20"/>
    </row>
    <row r="150" spans="1:20" s="18" customFormat="1" ht="12.75" customHeight="1" x14ac:dyDescent="0.2">
      <c r="A150" s="53"/>
      <c r="B150" s="53"/>
      <c r="C150" s="53"/>
      <c r="D150" s="53"/>
      <c r="E150" s="66" t="s">
        <v>36</v>
      </c>
      <c r="F150" s="85" t="s">
        <v>302</v>
      </c>
      <c r="G150" s="85" t="s">
        <v>353</v>
      </c>
      <c r="H150" s="85" t="s">
        <v>353</v>
      </c>
      <c r="I150" s="85" t="s">
        <v>328</v>
      </c>
      <c r="J150" s="57"/>
      <c r="K150" s="58"/>
      <c r="M150" s="19"/>
      <c r="T150" s="20"/>
    </row>
    <row r="151" spans="1:20" s="18" customFormat="1" ht="12.75" customHeight="1" x14ac:dyDescent="0.2">
      <c r="A151" s="53"/>
      <c r="B151" s="53"/>
      <c r="C151" s="53"/>
      <c r="D151" s="53"/>
      <c r="E151" s="66" t="s">
        <v>35</v>
      </c>
      <c r="F151" s="85" t="s">
        <v>302</v>
      </c>
      <c r="G151" s="85" t="s">
        <v>302</v>
      </c>
      <c r="H151" s="85" t="s">
        <v>302</v>
      </c>
      <c r="I151" s="85"/>
      <c r="J151" s="57"/>
      <c r="K151" s="58"/>
      <c r="M151" s="19"/>
      <c r="T151" s="20"/>
    </row>
    <row r="152" spans="1:20" s="18" customFormat="1" ht="12.75" customHeight="1" x14ac:dyDescent="0.2">
      <c r="A152" s="53"/>
      <c r="B152" s="53"/>
      <c r="C152" s="53"/>
      <c r="D152" s="53"/>
      <c r="E152" s="66" t="s">
        <v>75</v>
      </c>
      <c r="F152" s="85" t="s">
        <v>304</v>
      </c>
      <c r="G152" s="85" t="s">
        <v>354</v>
      </c>
      <c r="H152" s="85" t="s">
        <v>365</v>
      </c>
      <c r="I152" s="85" t="s">
        <v>322</v>
      </c>
      <c r="J152" s="57"/>
      <c r="K152" s="58"/>
      <c r="M152" s="19"/>
      <c r="T152" s="20"/>
    </row>
    <row r="153" spans="1:20" s="18" customFormat="1" ht="12.75" customHeight="1" x14ac:dyDescent="0.2">
      <c r="A153" s="53"/>
      <c r="B153" s="53"/>
      <c r="C153" s="53"/>
      <c r="D153" s="53"/>
      <c r="E153" s="66" t="s">
        <v>89</v>
      </c>
      <c r="F153" s="85" t="s">
        <v>302</v>
      </c>
      <c r="G153" s="85" t="s">
        <v>353</v>
      </c>
      <c r="H153" s="85" t="s">
        <v>353</v>
      </c>
      <c r="I153" s="85" t="s">
        <v>328</v>
      </c>
      <c r="J153" s="57"/>
      <c r="K153" s="58"/>
      <c r="M153" s="19"/>
      <c r="T153" s="20"/>
    </row>
    <row r="154" spans="1:20" s="18" customFormat="1" ht="25.5" x14ac:dyDescent="0.2">
      <c r="A154" s="53"/>
      <c r="B154" s="53"/>
      <c r="C154" s="53"/>
      <c r="D154" s="53"/>
      <c r="E154" s="66" t="s">
        <v>79</v>
      </c>
      <c r="F154" s="85" t="s">
        <v>302</v>
      </c>
      <c r="G154" s="85" t="s">
        <v>353</v>
      </c>
      <c r="H154" s="104" t="s">
        <v>393</v>
      </c>
      <c r="I154" s="85" t="s">
        <v>330</v>
      </c>
      <c r="J154" s="57"/>
      <c r="K154" s="58"/>
      <c r="M154" s="19"/>
      <c r="T154" s="20"/>
    </row>
    <row r="155" spans="1:20" s="18" customFormat="1" ht="12.75" customHeight="1" x14ac:dyDescent="0.2">
      <c r="A155" s="53"/>
      <c r="B155" s="53"/>
      <c r="C155" s="53"/>
      <c r="D155" s="53"/>
      <c r="E155" s="66" t="s">
        <v>29</v>
      </c>
      <c r="F155" s="85" t="s">
        <v>302</v>
      </c>
      <c r="G155" s="85" t="s">
        <v>385</v>
      </c>
      <c r="H155" s="85" t="s">
        <v>391</v>
      </c>
      <c r="I155" s="85" t="s">
        <v>331</v>
      </c>
      <c r="J155" s="57"/>
      <c r="K155" s="58"/>
      <c r="M155" s="19"/>
      <c r="T155" s="20"/>
    </row>
    <row r="156" spans="1:20" s="18" customFormat="1" ht="12.75" customHeight="1" x14ac:dyDescent="0.2">
      <c r="A156" s="53"/>
      <c r="B156" s="53"/>
      <c r="C156" s="53"/>
      <c r="D156" s="53"/>
      <c r="E156" s="66" t="s">
        <v>69</v>
      </c>
      <c r="F156" s="85" t="s">
        <v>304</v>
      </c>
      <c r="G156" s="85" t="s">
        <v>302</v>
      </c>
      <c r="H156" s="85" t="s">
        <v>302</v>
      </c>
      <c r="I156" s="85"/>
      <c r="J156" s="57"/>
      <c r="K156" s="58"/>
      <c r="M156" s="19"/>
      <c r="T156" s="20"/>
    </row>
    <row r="157" spans="1:20" s="18" customFormat="1" ht="12.75" customHeight="1" x14ac:dyDescent="0.2">
      <c r="A157" s="53"/>
      <c r="B157" s="53"/>
      <c r="C157" s="53"/>
      <c r="D157" s="53"/>
      <c r="E157" s="66" t="s">
        <v>65</v>
      </c>
      <c r="F157" s="85" t="s">
        <v>304</v>
      </c>
      <c r="G157" s="85" t="s">
        <v>304</v>
      </c>
      <c r="H157" s="85" t="s">
        <v>302</v>
      </c>
      <c r="I157" s="85"/>
      <c r="J157" s="57"/>
      <c r="K157" s="58"/>
      <c r="M157" s="19"/>
      <c r="T157" s="20"/>
    </row>
    <row r="158" spans="1:20" s="18" customFormat="1" ht="12.75" customHeight="1" x14ac:dyDescent="0.2">
      <c r="A158" s="53"/>
      <c r="B158" s="53"/>
      <c r="C158" s="53"/>
      <c r="D158" s="53"/>
      <c r="E158" s="66" t="s">
        <v>117</v>
      </c>
      <c r="F158" s="85" t="s">
        <v>304</v>
      </c>
      <c r="G158" s="85" t="s">
        <v>304</v>
      </c>
      <c r="H158" s="85" t="s">
        <v>302</v>
      </c>
      <c r="I158" s="85"/>
      <c r="J158" s="57"/>
      <c r="K158" s="58"/>
      <c r="M158" s="19"/>
      <c r="T158" s="20"/>
    </row>
    <row r="159" spans="1:20" s="18" customFormat="1" ht="25.5" x14ac:dyDescent="0.2">
      <c r="A159" s="53"/>
      <c r="B159" s="53"/>
      <c r="C159" s="53"/>
      <c r="D159" s="53"/>
      <c r="E159" s="66" t="s">
        <v>116</v>
      </c>
      <c r="F159" s="85" t="s">
        <v>302</v>
      </c>
      <c r="G159" s="104" t="s">
        <v>393</v>
      </c>
      <c r="H159" s="104" t="s">
        <v>394</v>
      </c>
      <c r="I159" s="85" t="s">
        <v>332</v>
      </c>
      <c r="J159" s="57"/>
      <c r="K159" s="58"/>
      <c r="M159" s="19"/>
      <c r="T159" s="20"/>
    </row>
    <row r="160" spans="1:20" s="18" customFormat="1" ht="12.75" customHeight="1" x14ac:dyDescent="0.2">
      <c r="A160" s="53"/>
      <c r="B160" s="53"/>
      <c r="C160" s="53"/>
      <c r="D160" s="53"/>
      <c r="E160" s="105" t="s">
        <v>115</v>
      </c>
      <c r="F160" s="85" t="s">
        <v>304</v>
      </c>
      <c r="G160" s="85" t="s">
        <v>304</v>
      </c>
      <c r="H160" s="85" t="s">
        <v>304</v>
      </c>
      <c r="I160" s="85"/>
      <c r="J160" s="57"/>
      <c r="K160" s="57"/>
      <c r="M160" s="19"/>
      <c r="T160" s="20"/>
    </row>
    <row r="161" spans="1:20" s="18" customFormat="1" ht="12.75" customHeight="1" x14ac:dyDescent="0.2">
      <c r="A161" s="53"/>
      <c r="B161" s="53"/>
      <c r="C161" s="53"/>
      <c r="D161" s="53"/>
      <c r="E161" s="66" t="s">
        <v>8</v>
      </c>
      <c r="F161" s="85" t="s">
        <v>304</v>
      </c>
      <c r="G161" s="85" t="s">
        <v>302</v>
      </c>
      <c r="H161" s="85" t="s">
        <v>302</v>
      </c>
      <c r="I161" s="85"/>
      <c r="J161" s="57"/>
      <c r="K161" s="58"/>
      <c r="M161" s="19"/>
      <c r="T161" s="20"/>
    </row>
    <row r="162" spans="1:20" s="18" customFormat="1" ht="12.75" customHeight="1" x14ac:dyDescent="0.2">
      <c r="A162" s="53"/>
      <c r="B162" s="53"/>
      <c r="C162" s="53"/>
      <c r="D162" s="53"/>
      <c r="E162" s="105" t="s">
        <v>53</v>
      </c>
      <c r="F162" s="85" t="s">
        <v>304</v>
      </c>
      <c r="G162" s="85" t="s">
        <v>304</v>
      </c>
      <c r="H162" s="85" t="s">
        <v>304</v>
      </c>
      <c r="I162" s="85"/>
      <c r="J162" s="57"/>
      <c r="K162" s="57"/>
      <c r="M162" s="19"/>
      <c r="T162" s="20"/>
    </row>
    <row r="163" spans="1:20" s="18" customFormat="1" ht="12.75" customHeight="1" x14ac:dyDescent="0.2">
      <c r="A163" s="53"/>
      <c r="B163" s="53"/>
      <c r="C163" s="53"/>
      <c r="D163" s="53"/>
      <c r="E163" s="105" t="s">
        <v>114</v>
      </c>
      <c r="F163" s="85" t="s">
        <v>304</v>
      </c>
      <c r="G163" s="85" t="s">
        <v>304</v>
      </c>
      <c r="H163" s="85" t="s">
        <v>304</v>
      </c>
      <c r="I163" s="85"/>
      <c r="J163" s="57"/>
      <c r="K163" s="57"/>
      <c r="M163" s="19"/>
      <c r="T163" s="20"/>
    </row>
    <row r="164" spans="1:20" s="18" customFormat="1" ht="12.75" customHeight="1" x14ac:dyDescent="0.2">
      <c r="A164" s="53"/>
      <c r="B164" s="53"/>
      <c r="C164" s="53"/>
      <c r="D164" s="53"/>
      <c r="E164" s="105" t="s">
        <v>211</v>
      </c>
      <c r="F164" s="85" t="s">
        <v>304</v>
      </c>
      <c r="G164" s="85" t="s">
        <v>304</v>
      </c>
      <c r="H164" s="85" t="s">
        <v>304</v>
      </c>
      <c r="I164" s="85"/>
      <c r="J164" s="57"/>
      <c r="K164" s="57"/>
      <c r="M164" s="19"/>
      <c r="T164" s="20"/>
    </row>
    <row r="165" spans="1:20" s="18" customFormat="1" ht="12.75" customHeight="1" x14ac:dyDescent="0.2">
      <c r="A165" s="53"/>
      <c r="B165" s="53"/>
      <c r="C165" s="53"/>
      <c r="D165" s="53"/>
      <c r="E165" s="105" t="s">
        <v>113</v>
      </c>
      <c r="F165" s="85" t="s">
        <v>304</v>
      </c>
      <c r="G165" s="85" t="s">
        <v>304</v>
      </c>
      <c r="H165" s="85" t="s">
        <v>304</v>
      </c>
      <c r="I165" s="85"/>
      <c r="J165" s="57"/>
      <c r="K165" s="57"/>
      <c r="M165" s="19"/>
      <c r="T165" s="20"/>
    </row>
    <row r="166" spans="1:20" s="18" customFormat="1" ht="12.75" customHeight="1" x14ac:dyDescent="0.2">
      <c r="A166" s="53"/>
      <c r="B166" s="53"/>
      <c r="C166" s="53"/>
      <c r="D166" s="53"/>
      <c r="E166" s="105" t="s">
        <v>112</v>
      </c>
      <c r="F166" s="85" t="s">
        <v>304</v>
      </c>
      <c r="G166" s="85" t="s">
        <v>304</v>
      </c>
      <c r="H166" s="85" t="s">
        <v>304</v>
      </c>
      <c r="I166" s="85"/>
      <c r="J166" s="57"/>
      <c r="K166" s="57"/>
      <c r="M166" s="19"/>
      <c r="T166" s="20"/>
    </row>
    <row r="167" spans="1:20" s="18" customFormat="1" ht="12.75" customHeight="1" x14ac:dyDescent="0.2">
      <c r="A167" s="53"/>
      <c r="B167" s="53"/>
      <c r="C167" s="53"/>
      <c r="D167" s="53"/>
      <c r="E167" s="66" t="s">
        <v>25</v>
      </c>
      <c r="F167" s="85" t="s">
        <v>302</v>
      </c>
      <c r="G167" s="85" t="s">
        <v>380</v>
      </c>
      <c r="H167" s="85" t="s">
        <v>354</v>
      </c>
      <c r="I167" s="85" t="s">
        <v>319</v>
      </c>
      <c r="J167" s="57"/>
      <c r="K167" s="58"/>
      <c r="M167" s="19"/>
      <c r="T167" s="20"/>
    </row>
    <row r="168" spans="1:20" s="18" customFormat="1" ht="12.75" customHeight="1" x14ac:dyDescent="0.2">
      <c r="A168" s="53"/>
      <c r="B168" s="53"/>
      <c r="C168" s="53"/>
      <c r="D168" s="53"/>
      <c r="E168" s="66" t="s">
        <v>0</v>
      </c>
      <c r="F168" s="85" t="s">
        <v>302</v>
      </c>
      <c r="G168" s="85" t="s">
        <v>365</v>
      </c>
      <c r="H168" s="85" t="s">
        <v>365</v>
      </c>
      <c r="I168" s="85" t="s">
        <v>316</v>
      </c>
      <c r="J168" s="57"/>
      <c r="K168" s="58"/>
      <c r="M168" s="19"/>
      <c r="T168" s="20"/>
    </row>
    <row r="169" spans="1:20" s="18" customFormat="1" ht="12.75" customHeight="1" x14ac:dyDescent="0.2">
      <c r="A169" s="53"/>
      <c r="B169" s="53"/>
      <c r="C169" s="53"/>
      <c r="D169" s="53"/>
      <c r="E169" s="66" t="s">
        <v>24</v>
      </c>
      <c r="F169" s="85" t="s">
        <v>304</v>
      </c>
      <c r="G169" s="85" t="s">
        <v>386</v>
      </c>
      <c r="H169" s="104" t="s">
        <v>386</v>
      </c>
      <c r="I169" s="85" t="s">
        <v>333</v>
      </c>
      <c r="J169" s="57"/>
      <c r="K169" s="58"/>
      <c r="M169" s="19"/>
      <c r="T169" s="20"/>
    </row>
    <row r="170" spans="1:20" s="18" customFormat="1" ht="12.75" customHeight="1" x14ac:dyDescent="0.2">
      <c r="A170" s="53"/>
      <c r="B170" s="53"/>
      <c r="C170" s="53"/>
      <c r="D170" s="53"/>
      <c r="E170" s="66" t="s">
        <v>21</v>
      </c>
      <c r="F170" s="85" t="s">
        <v>304</v>
      </c>
      <c r="G170" s="85" t="s">
        <v>353</v>
      </c>
      <c r="H170" s="85" t="s">
        <v>354</v>
      </c>
      <c r="I170" s="85" t="s">
        <v>308</v>
      </c>
      <c r="J170" s="57"/>
      <c r="K170" s="58"/>
      <c r="M170" s="19"/>
      <c r="T170" s="20"/>
    </row>
    <row r="171" spans="1:20" s="18" customFormat="1" ht="12.75" customHeight="1" thickBot="1" x14ac:dyDescent="0.25">
      <c r="A171" s="53"/>
      <c r="B171" s="53"/>
      <c r="C171" s="53"/>
      <c r="D171" s="53"/>
      <c r="E171" s="60" t="s">
        <v>111</v>
      </c>
      <c r="F171" s="92" t="s">
        <v>304</v>
      </c>
      <c r="G171" s="92" t="s">
        <v>304</v>
      </c>
      <c r="H171" s="92" t="s">
        <v>304</v>
      </c>
      <c r="I171" s="85"/>
      <c r="J171" s="57"/>
      <c r="K171" s="58"/>
      <c r="M171" s="19"/>
      <c r="T171" s="20"/>
    </row>
    <row r="172" spans="1:20" s="18" customFormat="1" ht="12.75" customHeight="1" x14ac:dyDescent="0.2">
      <c r="A172" s="53">
        <v>110</v>
      </c>
      <c r="B172" s="53" t="s">
        <v>110</v>
      </c>
      <c r="C172" s="53" t="s">
        <v>302</v>
      </c>
      <c r="D172" s="53"/>
      <c r="E172" s="67" t="s">
        <v>45</v>
      </c>
      <c r="F172" s="91" t="s">
        <v>302</v>
      </c>
      <c r="G172" s="85" t="s">
        <v>375</v>
      </c>
      <c r="H172" s="104" t="s">
        <v>375</v>
      </c>
      <c r="I172" s="85" t="s">
        <v>303</v>
      </c>
      <c r="J172" s="57"/>
      <c r="K172" s="58"/>
      <c r="M172" s="19"/>
      <c r="T172" s="20"/>
    </row>
    <row r="173" spans="1:20" s="18" customFormat="1" ht="12.75" customHeight="1" x14ac:dyDescent="0.2">
      <c r="A173" s="53"/>
      <c r="B173" s="53"/>
      <c r="C173" s="53"/>
      <c r="D173" s="53"/>
      <c r="E173" s="66" t="s">
        <v>107</v>
      </c>
      <c r="F173" s="85" t="s">
        <v>302</v>
      </c>
      <c r="G173" s="85" t="s">
        <v>302</v>
      </c>
      <c r="H173" s="85" t="s">
        <v>302</v>
      </c>
      <c r="I173" s="85"/>
      <c r="J173" s="57"/>
      <c r="K173" s="58"/>
      <c r="M173" s="19"/>
      <c r="T173" s="20"/>
    </row>
    <row r="174" spans="1:20" s="18" customFormat="1" ht="12.75" customHeight="1" x14ac:dyDescent="0.2">
      <c r="A174" s="53"/>
      <c r="B174" s="53"/>
      <c r="C174" s="53"/>
      <c r="D174" s="53"/>
      <c r="E174" s="66" t="s">
        <v>106</v>
      </c>
      <c r="F174" s="85" t="s">
        <v>302</v>
      </c>
      <c r="G174" s="85" t="s">
        <v>353</v>
      </c>
      <c r="H174" s="85" t="s">
        <v>353</v>
      </c>
      <c r="I174" s="85" t="s">
        <v>328</v>
      </c>
      <c r="J174" s="57"/>
      <c r="K174" s="58"/>
      <c r="M174" s="19"/>
      <c r="T174" s="20"/>
    </row>
    <row r="175" spans="1:20" s="18" customFormat="1" ht="25.5" x14ac:dyDescent="0.2">
      <c r="A175" s="53"/>
      <c r="B175" s="53"/>
      <c r="C175" s="53"/>
      <c r="D175" s="53"/>
      <c r="E175" s="66" t="s">
        <v>105</v>
      </c>
      <c r="F175" s="85" t="s">
        <v>302</v>
      </c>
      <c r="G175" s="104" t="s">
        <v>377</v>
      </c>
      <c r="H175" s="104" t="s">
        <v>377</v>
      </c>
      <c r="I175" s="85" t="s">
        <v>314</v>
      </c>
      <c r="J175" s="57"/>
      <c r="K175" s="58"/>
      <c r="M175" s="19"/>
      <c r="T175" s="20"/>
    </row>
    <row r="176" spans="1:20" s="18" customFormat="1" ht="12.75" customHeight="1" x14ac:dyDescent="0.2">
      <c r="A176" s="53"/>
      <c r="B176" s="53"/>
      <c r="C176" s="53"/>
      <c r="D176" s="53"/>
      <c r="E176" s="66" t="s">
        <v>104</v>
      </c>
      <c r="F176" s="85" t="s">
        <v>302</v>
      </c>
      <c r="G176" s="85" t="s">
        <v>353</v>
      </c>
      <c r="H176" s="104" t="s">
        <v>378</v>
      </c>
      <c r="I176" s="85" t="s">
        <v>315</v>
      </c>
      <c r="J176" s="57"/>
      <c r="K176" s="58"/>
      <c r="M176" s="19"/>
      <c r="T176" s="20"/>
    </row>
    <row r="177" spans="1:20" s="18" customFormat="1" ht="12.75" customHeight="1" x14ac:dyDescent="0.2">
      <c r="A177" s="53"/>
      <c r="B177" s="53"/>
      <c r="C177" s="53"/>
      <c r="D177" s="53"/>
      <c r="E177" s="66" t="s">
        <v>61</v>
      </c>
      <c r="F177" s="85" t="s">
        <v>302</v>
      </c>
      <c r="G177" s="85" t="s">
        <v>365</v>
      </c>
      <c r="H177" s="85" t="s">
        <v>365</v>
      </c>
      <c r="I177" s="85" t="s">
        <v>316</v>
      </c>
      <c r="J177" s="57"/>
      <c r="K177" s="58"/>
      <c r="M177" s="19"/>
      <c r="T177" s="20"/>
    </row>
    <row r="178" spans="1:20" s="18" customFormat="1" ht="12.75" customHeight="1" x14ac:dyDescent="0.2">
      <c r="A178" s="53"/>
      <c r="B178" s="53"/>
      <c r="C178" s="53"/>
      <c r="D178" s="53"/>
      <c r="E178" s="66" t="s">
        <v>92</v>
      </c>
      <c r="F178" s="85" t="s">
        <v>302</v>
      </c>
      <c r="G178" s="85" t="s">
        <v>376</v>
      </c>
      <c r="H178" s="85" t="s">
        <v>376</v>
      </c>
      <c r="I178" s="85" t="s">
        <v>307</v>
      </c>
      <c r="J178" s="57"/>
      <c r="K178" s="58"/>
      <c r="M178" s="19"/>
      <c r="T178" s="20"/>
    </row>
    <row r="179" spans="1:20" s="18" customFormat="1" ht="12.75" customHeight="1" x14ac:dyDescent="0.2">
      <c r="A179" s="53"/>
      <c r="B179" s="53"/>
      <c r="C179" s="53"/>
      <c r="D179" s="53"/>
      <c r="E179" s="66" t="s">
        <v>103</v>
      </c>
      <c r="F179" s="85" t="s">
        <v>304</v>
      </c>
      <c r="G179" s="85" t="s">
        <v>304</v>
      </c>
      <c r="H179" s="85" t="s">
        <v>302</v>
      </c>
      <c r="I179" s="85"/>
      <c r="J179" s="57"/>
      <c r="K179" s="58"/>
      <c r="M179" s="19"/>
      <c r="T179" s="20"/>
    </row>
    <row r="180" spans="1:20" s="18" customFormat="1" ht="12.75" customHeight="1" x14ac:dyDescent="0.2">
      <c r="A180" s="53"/>
      <c r="B180" s="53"/>
      <c r="C180" s="53"/>
      <c r="D180" s="53"/>
      <c r="E180" s="107" t="s">
        <v>102</v>
      </c>
      <c r="F180" s="85" t="s">
        <v>302</v>
      </c>
      <c r="G180" s="85" t="s">
        <v>302</v>
      </c>
      <c r="H180" s="85" t="s">
        <v>302</v>
      </c>
      <c r="I180" s="85"/>
      <c r="J180" s="57"/>
      <c r="K180" s="58"/>
      <c r="M180" s="19"/>
      <c r="T180" s="20"/>
    </row>
    <row r="181" spans="1:20" s="18" customFormat="1" ht="12.75" customHeight="1" x14ac:dyDescent="0.2">
      <c r="A181" s="53"/>
      <c r="B181" s="53"/>
      <c r="C181" s="53"/>
      <c r="D181" s="53"/>
      <c r="E181" s="66" t="s">
        <v>109</v>
      </c>
      <c r="F181" s="85" t="s">
        <v>302</v>
      </c>
      <c r="G181" s="85" t="s">
        <v>380</v>
      </c>
      <c r="H181" s="85" t="s">
        <v>354</v>
      </c>
      <c r="I181" s="85" t="s">
        <v>319</v>
      </c>
      <c r="J181" s="57"/>
      <c r="K181" s="58"/>
      <c r="M181" s="19"/>
      <c r="T181" s="20"/>
    </row>
    <row r="182" spans="1:20" s="18" customFormat="1" ht="12.75" customHeight="1" x14ac:dyDescent="0.2">
      <c r="A182" s="53"/>
      <c r="B182" s="53"/>
      <c r="C182" s="53"/>
      <c r="D182" s="53"/>
      <c r="E182" s="66" t="s">
        <v>60</v>
      </c>
      <c r="F182" s="85" t="s">
        <v>302</v>
      </c>
      <c r="G182" s="85" t="s">
        <v>381</v>
      </c>
      <c r="H182" s="85" t="s">
        <v>365</v>
      </c>
      <c r="I182" s="85" t="s">
        <v>321</v>
      </c>
      <c r="J182" s="57"/>
      <c r="K182" s="58"/>
      <c r="M182" s="19"/>
      <c r="T182" s="20"/>
    </row>
    <row r="183" spans="1:20" s="18" customFormat="1" ht="12.75" customHeight="1" thickBot="1" x14ac:dyDescent="0.25">
      <c r="A183" s="53"/>
      <c r="B183" s="53"/>
      <c r="C183" s="53"/>
      <c r="D183" s="53"/>
      <c r="E183" s="60" t="s">
        <v>101</v>
      </c>
      <c r="F183" s="92" t="s">
        <v>302</v>
      </c>
      <c r="G183" s="92" t="s">
        <v>302</v>
      </c>
      <c r="H183" s="92" t="s">
        <v>302</v>
      </c>
      <c r="I183" s="85"/>
      <c r="J183" s="57"/>
      <c r="K183" s="58"/>
      <c r="M183" s="19"/>
      <c r="T183" s="20"/>
    </row>
    <row r="184" spans="1:20" s="18" customFormat="1" ht="12.75" customHeight="1" x14ac:dyDescent="0.2">
      <c r="A184" s="53">
        <v>120</v>
      </c>
      <c r="B184" s="53" t="s">
        <v>108</v>
      </c>
      <c r="C184" s="53" t="s">
        <v>302</v>
      </c>
      <c r="D184" s="53"/>
      <c r="E184" s="67" t="s">
        <v>45</v>
      </c>
      <c r="F184" s="91" t="s">
        <v>302</v>
      </c>
      <c r="G184" s="85" t="s">
        <v>375</v>
      </c>
      <c r="H184" s="104" t="s">
        <v>375</v>
      </c>
      <c r="I184" s="85" t="s">
        <v>303</v>
      </c>
      <c r="J184" s="57"/>
      <c r="K184" s="58"/>
      <c r="M184" s="19"/>
      <c r="T184" s="20"/>
    </row>
    <row r="185" spans="1:20" s="18" customFormat="1" ht="12.75" customHeight="1" x14ac:dyDescent="0.2">
      <c r="A185" s="53"/>
      <c r="B185" s="53"/>
      <c r="C185" s="53"/>
      <c r="D185" s="53"/>
      <c r="E185" s="66" t="s">
        <v>107</v>
      </c>
      <c r="F185" s="85" t="s">
        <v>302</v>
      </c>
      <c r="G185" s="85" t="s">
        <v>302</v>
      </c>
      <c r="H185" s="85" t="s">
        <v>302</v>
      </c>
      <c r="I185" s="85"/>
      <c r="J185" s="57"/>
      <c r="K185" s="58"/>
      <c r="M185" s="19"/>
      <c r="T185" s="20"/>
    </row>
    <row r="186" spans="1:20" s="18" customFormat="1" ht="12.75" customHeight="1" x14ac:dyDescent="0.2">
      <c r="A186" s="53"/>
      <c r="B186" s="53"/>
      <c r="C186" s="53"/>
      <c r="D186" s="53"/>
      <c r="E186" s="66" t="s">
        <v>106</v>
      </c>
      <c r="F186" s="85" t="s">
        <v>302</v>
      </c>
      <c r="G186" s="85" t="s">
        <v>353</v>
      </c>
      <c r="H186" s="85" t="s">
        <v>353</v>
      </c>
      <c r="I186" s="85" t="s">
        <v>328</v>
      </c>
      <c r="J186" s="57"/>
      <c r="K186" s="58"/>
      <c r="M186" s="19"/>
      <c r="T186" s="20"/>
    </row>
    <row r="187" spans="1:20" s="18" customFormat="1" ht="25.5" x14ac:dyDescent="0.2">
      <c r="A187" s="53"/>
      <c r="B187" s="53"/>
      <c r="C187" s="53"/>
      <c r="D187" s="53"/>
      <c r="E187" s="66" t="s">
        <v>105</v>
      </c>
      <c r="F187" s="85" t="s">
        <v>302</v>
      </c>
      <c r="G187" s="104" t="s">
        <v>377</v>
      </c>
      <c r="H187" s="104" t="s">
        <v>377</v>
      </c>
      <c r="I187" s="85" t="s">
        <v>314</v>
      </c>
      <c r="J187" s="57"/>
      <c r="K187" s="58"/>
      <c r="M187" s="19"/>
      <c r="T187" s="20"/>
    </row>
    <row r="188" spans="1:20" s="18" customFormat="1" ht="12.75" customHeight="1" x14ac:dyDescent="0.2">
      <c r="A188" s="53"/>
      <c r="B188" s="53"/>
      <c r="C188" s="53"/>
      <c r="D188" s="53"/>
      <c r="E188" s="66" t="s">
        <v>104</v>
      </c>
      <c r="F188" s="85" t="s">
        <v>302</v>
      </c>
      <c r="G188" s="85" t="s">
        <v>353</v>
      </c>
      <c r="H188" s="104" t="s">
        <v>378</v>
      </c>
      <c r="I188" s="85" t="s">
        <v>315</v>
      </c>
      <c r="J188" s="57"/>
      <c r="K188" s="58"/>
      <c r="M188" s="19"/>
      <c r="T188" s="20"/>
    </row>
    <row r="189" spans="1:20" s="18" customFormat="1" ht="12.75" customHeight="1" x14ac:dyDescent="0.2">
      <c r="A189" s="53"/>
      <c r="B189" s="53"/>
      <c r="C189" s="53"/>
      <c r="D189" s="53"/>
      <c r="E189" s="66" t="s">
        <v>92</v>
      </c>
      <c r="F189" s="85" t="s">
        <v>302</v>
      </c>
      <c r="G189" s="85" t="s">
        <v>376</v>
      </c>
      <c r="H189" s="85" t="s">
        <v>376</v>
      </c>
      <c r="I189" s="85" t="s">
        <v>307</v>
      </c>
      <c r="J189" s="57"/>
      <c r="K189" s="58"/>
      <c r="M189" s="19"/>
      <c r="T189" s="20"/>
    </row>
    <row r="190" spans="1:20" s="18" customFormat="1" ht="12.75" customHeight="1" x14ac:dyDescent="0.2">
      <c r="A190" s="53"/>
      <c r="B190" s="53"/>
      <c r="C190" s="53"/>
      <c r="D190" s="53"/>
      <c r="E190" s="66" t="s">
        <v>103</v>
      </c>
      <c r="F190" s="85" t="s">
        <v>304</v>
      </c>
      <c r="G190" s="85" t="s">
        <v>304</v>
      </c>
      <c r="H190" s="85" t="s">
        <v>302</v>
      </c>
      <c r="I190" s="85"/>
      <c r="J190" s="57"/>
      <c r="K190" s="58"/>
      <c r="M190" s="19"/>
      <c r="T190" s="20"/>
    </row>
    <row r="191" spans="1:20" s="18" customFormat="1" ht="12.75" customHeight="1" x14ac:dyDescent="0.2">
      <c r="A191" s="53"/>
      <c r="B191" s="53"/>
      <c r="C191" s="53"/>
      <c r="D191" s="53"/>
      <c r="E191" s="107" t="s">
        <v>102</v>
      </c>
      <c r="F191" s="85" t="s">
        <v>302</v>
      </c>
      <c r="G191" s="85" t="s">
        <v>302</v>
      </c>
      <c r="H191" s="85" t="s">
        <v>302</v>
      </c>
      <c r="I191" s="85"/>
      <c r="J191" s="57"/>
      <c r="K191" s="58"/>
      <c r="M191" s="19"/>
      <c r="T191" s="20"/>
    </row>
    <row r="192" spans="1:20" s="18" customFormat="1" ht="12.75" customHeight="1" x14ac:dyDescent="0.2">
      <c r="A192" s="53"/>
      <c r="B192" s="53"/>
      <c r="C192" s="53"/>
      <c r="D192" s="53"/>
      <c r="E192" s="86" t="s">
        <v>101</v>
      </c>
      <c r="F192" s="85" t="s">
        <v>302</v>
      </c>
      <c r="G192" s="85" t="s">
        <v>302</v>
      </c>
      <c r="H192" s="85" t="s">
        <v>302</v>
      </c>
      <c r="I192" s="85"/>
      <c r="J192" s="57"/>
      <c r="K192" s="58"/>
      <c r="M192" s="19"/>
      <c r="T192" s="20"/>
    </row>
    <row r="193" spans="1:20" s="18" customFormat="1" ht="25.5" x14ac:dyDescent="0.2">
      <c r="A193" s="53"/>
      <c r="B193" s="53"/>
      <c r="C193" s="53"/>
      <c r="D193" s="53"/>
      <c r="E193" s="66" t="s">
        <v>100</v>
      </c>
      <c r="F193" s="85" t="s">
        <v>353</v>
      </c>
      <c r="G193" s="85" t="s">
        <v>387</v>
      </c>
      <c r="H193" s="104" t="s">
        <v>395</v>
      </c>
      <c r="I193" s="85" t="s">
        <v>335</v>
      </c>
      <c r="J193" s="57"/>
      <c r="K193" s="58"/>
      <c r="M193" s="19"/>
      <c r="T193" s="20"/>
    </row>
    <row r="194" spans="1:20" s="18" customFormat="1" ht="12.75" customHeight="1" x14ac:dyDescent="0.2">
      <c r="A194" s="53"/>
      <c r="B194" s="53"/>
      <c r="C194" s="53"/>
      <c r="D194" s="53"/>
      <c r="E194" s="66" t="s">
        <v>99</v>
      </c>
      <c r="F194" s="85" t="s">
        <v>302</v>
      </c>
      <c r="G194" s="85" t="s">
        <v>302</v>
      </c>
      <c r="H194" s="85" t="s">
        <v>302</v>
      </c>
      <c r="I194" s="85"/>
      <c r="J194" s="57"/>
      <c r="K194" s="58"/>
      <c r="M194" s="19"/>
      <c r="T194" s="20"/>
    </row>
    <row r="195" spans="1:20" s="18" customFormat="1" ht="12.75" customHeight="1" x14ac:dyDescent="0.2">
      <c r="A195" s="53"/>
      <c r="B195" s="53"/>
      <c r="C195" s="53"/>
      <c r="D195" s="53"/>
      <c r="E195" s="66" t="s">
        <v>98</v>
      </c>
      <c r="F195" s="85" t="s">
        <v>353</v>
      </c>
      <c r="G195" s="85" t="s">
        <v>365</v>
      </c>
      <c r="H195" s="85" t="s">
        <v>365</v>
      </c>
      <c r="I195" s="85" t="s">
        <v>336</v>
      </c>
      <c r="J195" s="57"/>
      <c r="K195" s="58"/>
      <c r="M195" s="19"/>
      <c r="T195" s="20"/>
    </row>
    <row r="196" spans="1:20" s="18" customFormat="1" ht="12.75" customHeight="1" x14ac:dyDescent="0.2">
      <c r="A196" s="53"/>
      <c r="B196" s="53"/>
      <c r="C196" s="53"/>
      <c r="D196" s="53"/>
      <c r="E196" s="66" t="s">
        <v>97</v>
      </c>
      <c r="F196" s="85" t="s">
        <v>302</v>
      </c>
      <c r="G196" s="85" t="s">
        <v>302</v>
      </c>
      <c r="H196" s="85" t="s">
        <v>302</v>
      </c>
      <c r="I196" s="85"/>
      <c r="J196" s="57"/>
      <c r="K196" s="58"/>
      <c r="M196" s="19"/>
      <c r="T196" s="20"/>
    </row>
    <row r="197" spans="1:20" s="18" customFormat="1" ht="12.75" customHeight="1" x14ac:dyDescent="0.2">
      <c r="A197" s="53"/>
      <c r="B197" s="53"/>
      <c r="C197" s="53"/>
      <c r="D197" s="53"/>
      <c r="E197" s="66" t="s">
        <v>96</v>
      </c>
      <c r="F197" s="85" t="s">
        <v>302</v>
      </c>
      <c r="G197" s="85" t="s">
        <v>302</v>
      </c>
      <c r="H197" s="85" t="s">
        <v>302</v>
      </c>
      <c r="I197" s="85"/>
      <c r="J197" s="57"/>
      <c r="K197" s="58"/>
      <c r="M197" s="19"/>
      <c r="T197" s="20"/>
    </row>
    <row r="198" spans="1:20" s="18" customFormat="1" ht="12.75" customHeight="1" x14ac:dyDescent="0.2">
      <c r="A198" s="53"/>
      <c r="B198" s="53"/>
      <c r="C198" s="53"/>
      <c r="D198" s="53"/>
      <c r="E198" s="105" t="s">
        <v>95</v>
      </c>
      <c r="F198" s="85" t="s">
        <v>304</v>
      </c>
      <c r="G198" s="85" t="s">
        <v>304</v>
      </c>
      <c r="H198" s="85" t="s">
        <v>304</v>
      </c>
      <c r="I198" s="85"/>
      <c r="J198" s="57"/>
      <c r="K198" s="57"/>
      <c r="M198" s="19"/>
      <c r="T198" s="20"/>
    </row>
    <row r="199" spans="1:20" s="18" customFormat="1" ht="12.75" customHeight="1" x14ac:dyDescent="0.2">
      <c r="A199" s="53"/>
      <c r="B199" s="53"/>
      <c r="C199" s="53"/>
      <c r="D199" s="53"/>
      <c r="E199" s="105" t="s">
        <v>94</v>
      </c>
      <c r="F199" s="85" t="s">
        <v>304</v>
      </c>
      <c r="G199" s="85" t="s">
        <v>304</v>
      </c>
      <c r="H199" s="85" t="s">
        <v>304</v>
      </c>
      <c r="I199" s="85"/>
      <c r="J199" s="57"/>
      <c r="K199" s="57"/>
      <c r="M199" s="19"/>
      <c r="T199" s="20"/>
    </row>
    <row r="200" spans="1:20" s="18" customFormat="1" ht="12.75" customHeight="1" thickBot="1" x14ac:dyDescent="0.25">
      <c r="A200" s="53"/>
      <c r="B200" s="53"/>
      <c r="C200" s="53"/>
      <c r="D200" s="53"/>
      <c r="E200" s="60" t="s">
        <v>6</v>
      </c>
      <c r="F200" s="92" t="s">
        <v>302</v>
      </c>
      <c r="G200" s="92" t="s">
        <v>302</v>
      </c>
      <c r="H200" s="85" t="s">
        <v>353</v>
      </c>
      <c r="I200" s="85" t="s">
        <v>306</v>
      </c>
      <c r="J200" s="57"/>
      <c r="K200" s="58"/>
      <c r="M200" s="19"/>
      <c r="T200" s="20"/>
    </row>
    <row r="201" spans="1:20" s="18" customFormat="1" ht="12.75" customHeight="1" x14ac:dyDescent="0.2">
      <c r="A201" s="53">
        <v>130</v>
      </c>
      <c r="B201" s="53" t="s">
        <v>93</v>
      </c>
      <c r="C201" s="53" t="s">
        <v>302</v>
      </c>
      <c r="D201" s="53"/>
      <c r="E201" s="103" t="s">
        <v>175</v>
      </c>
      <c r="F201" s="91" t="s">
        <v>302</v>
      </c>
      <c r="G201" s="91" t="s">
        <v>302</v>
      </c>
      <c r="H201" s="91" t="s">
        <v>302</v>
      </c>
      <c r="I201" s="85"/>
      <c r="J201" s="57"/>
      <c r="K201" s="58"/>
      <c r="M201" s="19"/>
      <c r="T201" s="20"/>
    </row>
    <row r="202" spans="1:20" s="18" customFormat="1" ht="12.75" customHeight="1" x14ac:dyDescent="0.2">
      <c r="A202" s="53"/>
      <c r="B202" s="53"/>
      <c r="C202" s="53"/>
      <c r="D202" s="53"/>
      <c r="E202" s="66" t="s">
        <v>92</v>
      </c>
      <c r="F202" s="85" t="s">
        <v>302</v>
      </c>
      <c r="G202" s="85" t="s">
        <v>376</v>
      </c>
      <c r="H202" s="85" t="s">
        <v>376</v>
      </c>
      <c r="I202" s="85" t="s">
        <v>307</v>
      </c>
      <c r="J202" s="57"/>
      <c r="K202" s="58"/>
      <c r="M202" s="19"/>
      <c r="T202" s="20"/>
    </row>
    <row r="203" spans="1:20" s="18" customFormat="1" ht="12.75" customHeight="1" x14ac:dyDescent="0.2">
      <c r="A203" s="53"/>
      <c r="B203" s="53"/>
      <c r="C203" s="53"/>
      <c r="D203" s="53"/>
      <c r="E203" s="66" t="s">
        <v>91</v>
      </c>
      <c r="F203" s="85" t="s">
        <v>302</v>
      </c>
      <c r="G203" s="85" t="s">
        <v>302</v>
      </c>
      <c r="H203" s="85" t="s">
        <v>302</v>
      </c>
      <c r="I203" s="85"/>
      <c r="J203" s="57"/>
      <c r="K203" s="58"/>
      <c r="M203" s="19"/>
      <c r="T203" s="20"/>
    </row>
    <row r="204" spans="1:20" s="18" customFormat="1" ht="12.75" customHeight="1" x14ac:dyDescent="0.2">
      <c r="A204" s="53"/>
      <c r="B204" s="53"/>
      <c r="C204" s="53"/>
      <c r="D204" s="53"/>
      <c r="E204" s="66" t="s">
        <v>90</v>
      </c>
      <c r="F204" s="85"/>
      <c r="G204" s="85"/>
      <c r="H204" s="85"/>
      <c r="I204" s="85"/>
      <c r="J204" s="57"/>
      <c r="K204" s="58"/>
      <c r="M204" s="19"/>
      <c r="T204" s="20"/>
    </row>
    <row r="205" spans="1:20" s="18" customFormat="1" ht="12.75" customHeight="1" x14ac:dyDescent="0.2">
      <c r="A205" s="53"/>
      <c r="B205" s="53"/>
      <c r="C205" s="53"/>
      <c r="D205" s="53"/>
      <c r="E205" s="66" t="s">
        <v>89</v>
      </c>
      <c r="F205" s="85" t="s">
        <v>302</v>
      </c>
      <c r="G205" s="85" t="s">
        <v>353</v>
      </c>
      <c r="H205" s="85" t="s">
        <v>353</v>
      </c>
      <c r="I205" s="85" t="s">
        <v>328</v>
      </c>
      <c r="J205" s="57"/>
      <c r="K205" s="58"/>
      <c r="M205" s="19"/>
      <c r="T205" s="20"/>
    </row>
    <row r="206" spans="1:20" s="18" customFormat="1" ht="12.75" customHeight="1" x14ac:dyDescent="0.2">
      <c r="A206" s="53"/>
      <c r="B206" s="53"/>
      <c r="C206" s="53"/>
      <c r="D206" s="53"/>
      <c r="E206" s="66" t="s">
        <v>88</v>
      </c>
      <c r="F206" s="85" t="s">
        <v>304</v>
      </c>
      <c r="G206" s="85" t="s">
        <v>302</v>
      </c>
      <c r="H206" s="85" t="s">
        <v>302</v>
      </c>
      <c r="I206" s="85"/>
      <c r="J206" s="57"/>
      <c r="K206" s="58"/>
      <c r="M206" s="19"/>
      <c r="T206" s="20"/>
    </row>
    <row r="207" spans="1:20" s="18" customFormat="1" ht="12.75" customHeight="1" x14ac:dyDescent="0.2">
      <c r="A207" s="53"/>
      <c r="B207" s="53"/>
      <c r="C207" s="53"/>
      <c r="D207" s="53"/>
      <c r="E207" s="105" t="s">
        <v>87</v>
      </c>
      <c r="F207" s="85" t="s">
        <v>304</v>
      </c>
      <c r="G207" s="85" t="s">
        <v>304</v>
      </c>
      <c r="H207" s="85" t="s">
        <v>304</v>
      </c>
      <c r="I207" s="85"/>
      <c r="J207" s="57"/>
      <c r="K207" s="57"/>
      <c r="M207" s="19"/>
      <c r="T207" s="20"/>
    </row>
    <row r="208" spans="1:20" s="18" customFormat="1" ht="12.75" customHeight="1" x14ac:dyDescent="0.2">
      <c r="A208" s="53"/>
      <c r="B208" s="53"/>
      <c r="C208" s="53"/>
      <c r="D208" s="53"/>
      <c r="E208" s="107" t="s">
        <v>86</v>
      </c>
      <c r="F208" s="85" t="s">
        <v>302</v>
      </c>
      <c r="G208" s="85" t="s">
        <v>302</v>
      </c>
      <c r="H208" s="85" t="s">
        <v>302</v>
      </c>
      <c r="I208" s="85"/>
      <c r="J208" s="57"/>
      <c r="K208" s="58"/>
      <c r="M208" s="19"/>
      <c r="T208" s="20"/>
    </row>
    <row r="209" spans="1:20" s="18" customFormat="1" ht="12.75" customHeight="1" x14ac:dyDescent="0.2">
      <c r="A209" s="53"/>
      <c r="B209" s="53"/>
      <c r="C209" s="53"/>
      <c r="D209" s="53"/>
      <c r="E209" s="66" t="s">
        <v>85</v>
      </c>
      <c r="F209" s="85" t="s">
        <v>302</v>
      </c>
      <c r="G209" s="85" t="s">
        <v>302</v>
      </c>
      <c r="H209" s="85" t="s">
        <v>302</v>
      </c>
      <c r="I209" s="85"/>
      <c r="J209" s="57"/>
      <c r="K209" s="58"/>
      <c r="M209" s="19"/>
      <c r="T209" s="20"/>
    </row>
    <row r="210" spans="1:20" s="18" customFormat="1" ht="12.75" customHeight="1" x14ac:dyDescent="0.2">
      <c r="A210" s="53"/>
      <c r="B210" s="53"/>
      <c r="C210" s="53"/>
      <c r="D210" s="53"/>
      <c r="E210" s="66" t="s">
        <v>84</v>
      </c>
      <c r="F210" s="85" t="s">
        <v>302</v>
      </c>
      <c r="G210" s="85" t="s">
        <v>302</v>
      </c>
      <c r="H210" s="85" t="s">
        <v>353</v>
      </c>
      <c r="I210" s="85" t="s">
        <v>306</v>
      </c>
      <c r="J210" s="57"/>
      <c r="K210" s="58"/>
      <c r="M210" s="19"/>
      <c r="T210" s="20"/>
    </row>
    <row r="211" spans="1:20" s="18" customFormat="1" ht="12.75" customHeight="1" x14ac:dyDescent="0.2">
      <c r="A211" s="53"/>
      <c r="B211" s="53"/>
      <c r="C211" s="53"/>
      <c r="D211" s="53"/>
      <c r="E211" s="66" t="s">
        <v>3</v>
      </c>
      <c r="F211" s="85" t="s">
        <v>304</v>
      </c>
      <c r="G211" s="85" t="s">
        <v>302</v>
      </c>
      <c r="H211" s="85" t="s">
        <v>302</v>
      </c>
      <c r="I211" s="85"/>
      <c r="J211" s="57"/>
      <c r="K211" s="58"/>
      <c r="M211" s="19"/>
      <c r="T211" s="20"/>
    </row>
    <row r="212" spans="1:20" s="18" customFormat="1" ht="12.75" customHeight="1" x14ac:dyDescent="0.2">
      <c r="A212" s="53"/>
      <c r="B212" s="53"/>
      <c r="C212" s="53"/>
      <c r="D212" s="53"/>
      <c r="E212" s="66" t="s">
        <v>83</v>
      </c>
      <c r="F212" s="85" t="s">
        <v>304</v>
      </c>
      <c r="G212" s="85" t="s">
        <v>302</v>
      </c>
      <c r="H212" s="85" t="s">
        <v>302</v>
      </c>
      <c r="I212" s="85"/>
      <c r="J212" s="57"/>
      <c r="K212" s="58"/>
      <c r="M212" s="19"/>
      <c r="T212" s="20"/>
    </row>
    <row r="213" spans="1:20" s="18" customFormat="1" ht="12.75" customHeight="1" x14ac:dyDescent="0.2">
      <c r="A213" s="53"/>
      <c r="B213" s="53"/>
      <c r="C213" s="53"/>
      <c r="D213" s="53"/>
      <c r="E213" s="66" t="s">
        <v>82</v>
      </c>
      <c r="F213" s="85" t="s">
        <v>302</v>
      </c>
      <c r="G213" s="85" t="s">
        <v>353</v>
      </c>
      <c r="H213" s="85" t="s">
        <v>354</v>
      </c>
      <c r="I213" s="85" t="s">
        <v>308</v>
      </c>
      <c r="J213" s="57"/>
      <c r="K213" s="58"/>
      <c r="M213" s="19"/>
      <c r="T213" s="20"/>
    </row>
    <row r="214" spans="1:20" s="18" customFormat="1" ht="12.75" customHeight="1" x14ac:dyDescent="0.2">
      <c r="A214" s="53"/>
      <c r="B214" s="53"/>
      <c r="C214" s="53"/>
      <c r="D214" s="53"/>
      <c r="E214" s="66" t="s">
        <v>81</v>
      </c>
      <c r="F214" s="85" t="s">
        <v>304</v>
      </c>
      <c r="G214" s="85" t="s">
        <v>302</v>
      </c>
      <c r="H214" s="85" t="s">
        <v>302</v>
      </c>
      <c r="I214" s="85"/>
      <c r="J214" s="57"/>
      <c r="K214" s="58"/>
      <c r="M214" s="19"/>
      <c r="T214" s="20"/>
    </row>
    <row r="215" spans="1:20" s="18" customFormat="1" ht="12.75" customHeight="1" x14ac:dyDescent="0.2">
      <c r="A215" s="53"/>
      <c r="B215" s="53"/>
      <c r="C215" s="53"/>
      <c r="D215" s="53"/>
      <c r="E215" s="66" t="s">
        <v>80</v>
      </c>
      <c r="F215" s="85" t="s">
        <v>304</v>
      </c>
      <c r="G215" s="85" t="s">
        <v>302</v>
      </c>
      <c r="H215" s="85" t="s">
        <v>353</v>
      </c>
      <c r="I215" s="85" t="s">
        <v>306</v>
      </c>
      <c r="J215" s="57"/>
      <c r="K215" s="58"/>
      <c r="M215" s="19"/>
      <c r="T215" s="20"/>
    </row>
    <row r="216" spans="1:20" s="18" customFormat="1" ht="12.75" customHeight="1" x14ac:dyDescent="0.2">
      <c r="A216" s="53"/>
      <c r="B216" s="53"/>
      <c r="C216" s="53"/>
      <c r="D216" s="53"/>
      <c r="E216" s="66" t="s">
        <v>33</v>
      </c>
      <c r="F216" s="85" t="s">
        <v>302</v>
      </c>
      <c r="G216" s="85" t="s">
        <v>302</v>
      </c>
      <c r="H216" s="85" t="s">
        <v>302</v>
      </c>
      <c r="I216" s="85"/>
      <c r="J216" s="57"/>
      <c r="K216" s="58"/>
      <c r="M216" s="19"/>
      <c r="T216" s="20"/>
    </row>
    <row r="217" spans="1:20" s="18" customFormat="1" ht="25.5" x14ac:dyDescent="0.2">
      <c r="A217" s="53"/>
      <c r="B217" s="53"/>
      <c r="C217" s="53"/>
      <c r="D217" s="53"/>
      <c r="E217" s="66" t="s">
        <v>79</v>
      </c>
      <c r="F217" s="85" t="s">
        <v>302</v>
      </c>
      <c r="G217" s="85" t="s">
        <v>353</v>
      </c>
      <c r="H217" s="104" t="s">
        <v>393</v>
      </c>
      <c r="I217" s="85" t="s">
        <v>330</v>
      </c>
      <c r="J217" s="57"/>
      <c r="K217" s="58"/>
      <c r="M217" s="19"/>
      <c r="T217" s="20"/>
    </row>
    <row r="218" spans="1:20" s="18" customFormat="1" ht="12.75" customHeight="1" thickBot="1" x14ac:dyDescent="0.25">
      <c r="A218" s="53"/>
      <c r="B218" s="53"/>
      <c r="C218" s="53"/>
      <c r="D218" s="53"/>
      <c r="E218" s="60" t="s">
        <v>2</v>
      </c>
      <c r="F218" s="92" t="s">
        <v>304</v>
      </c>
      <c r="G218" s="85" t="s">
        <v>353</v>
      </c>
      <c r="H218" s="85" t="s">
        <v>353</v>
      </c>
      <c r="I218" s="85" t="s">
        <v>328</v>
      </c>
      <c r="J218" s="57"/>
      <c r="K218" s="58"/>
      <c r="M218" s="19"/>
      <c r="T218" s="20"/>
    </row>
    <row r="219" spans="1:20" s="18" customFormat="1" ht="12.75" customHeight="1" x14ac:dyDescent="0.2">
      <c r="A219" s="53">
        <v>140</v>
      </c>
      <c r="B219" s="53" t="s">
        <v>78</v>
      </c>
      <c r="C219" s="53" t="s">
        <v>302</v>
      </c>
      <c r="D219" s="53"/>
      <c r="E219" s="103" t="s">
        <v>77</v>
      </c>
      <c r="F219" s="91" t="s">
        <v>302</v>
      </c>
      <c r="G219" s="91" t="s">
        <v>302</v>
      </c>
      <c r="H219" s="91" t="s">
        <v>302</v>
      </c>
      <c r="I219" s="85"/>
      <c r="J219" s="57"/>
      <c r="K219" s="58"/>
      <c r="M219" s="19"/>
      <c r="T219" s="20"/>
    </row>
    <row r="220" spans="1:20" s="18" customFormat="1" ht="12.75" customHeight="1" x14ac:dyDescent="0.2">
      <c r="A220" s="53"/>
      <c r="B220" s="53"/>
      <c r="C220" s="53"/>
      <c r="D220" s="53"/>
      <c r="E220" s="66" t="s">
        <v>76</v>
      </c>
      <c r="F220" s="85" t="s">
        <v>302</v>
      </c>
      <c r="G220" s="85" t="s">
        <v>353</v>
      </c>
      <c r="H220" s="85" t="s">
        <v>354</v>
      </c>
      <c r="I220" s="85" t="s">
        <v>308</v>
      </c>
      <c r="J220" s="57"/>
      <c r="K220" s="58"/>
      <c r="M220" s="19"/>
      <c r="T220" s="20"/>
    </row>
    <row r="221" spans="1:20" s="18" customFormat="1" ht="12.75" customHeight="1" x14ac:dyDescent="0.2">
      <c r="A221" s="53"/>
      <c r="B221" s="53"/>
      <c r="C221" s="53"/>
      <c r="D221" s="53"/>
      <c r="E221" s="66" t="s">
        <v>75</v>
      </c>
      <c r="F221" s="85" t="s">
        <v>304</v>
      </c>
      <c r="G221" s="85" t="s">
        <v>354</v>
      </c>
      <c r="H221" s="85" t="s">
        <v>365</v>
      </c>
      <c r="I221" s="85" t="s">
        <v>322</v>
      </c>
      <c r="J221" s="57"/>
      <c r="K221" s="58"/>
      <c r="M221" s="19"/>
      <c r="T221" s="20"/>
    </row>
    <row r="222" spans="1:20" s="18" customFormat="1" ht="12.75" customHeight="1" x14ac:dyDescent="0.2">
      <c r="A222" s="53"/>
      <c r="B222" s="53"/>
      <c r="C222" s="53"/>
      <c r="D222" s="53"/>
      <c r="E222" s="66" t="s">
        <v>74</v>
      </c>
      <c r="F222" s="85" t="s">
        <v>304</v>
      </c>
      <c r="G222" s="85" t="s">
        <v>302</v>
      </c>
      <c r="H222" s="85" t="s">
        <v>302</v>
      </c>
      <c r="I222" s="85"/>
      <c r="J222" s="57"/>
      <c r="K222" s="58"/>
      <c r="M222" s="19"/>
      <c r="T222" s="20"/>
    </row>
    <row r="223" spans="1:20" s="18" customFormat="1" ht="12.75" customHeight="1" x14ac:dyDescent="0.2">
      <c r="A223" s="53"/>
      <c r="B223" s="53"/>
      <c r="C223" s="53"/>
      <c r="D223" s="53"/>
      <c r="E223" s="107" t="s">
        <v>73</v>
      </c>
      <c r="F223" s="85" t="s">
        <v>302</v>
      </c>
      <c r="G223" s="85" t="s">
        <v>302</v>
      </c>
      <c r="H223" s="85" t="s">
        <v>302</v>
      </c>
      <c r="I223" s="85"/>
      <c r="J223" s="57"/>
      <c r="K223" s="58"/>
      <c r="M223" s="19"/>
      <c r="T223" s="20"/>
    </row>
    <row r="224" spans="1:20" s="18" customFormat="1" ht="12.75" customHeight="1" x14ac:dyDescent="0.2">
      <c r="A224" s="53"/>
      <c r="B224" s="53"/>
      <c r="C224" s="53"/>
      <c r="D224" s="53"/>
      <c r="E224" s="105" t="s">
        <v>72</v>
      </c>
      <c r="F224" s="85" t="s">
        <v>304</v>
      </c>
      <c r="G224" s="85" t="s">
        <v>304</v>
      </c>
      <c r="H224" s="85" t="s">
        <v>304</v>
      </c>
      <c r="I224" s="85"/>
      <c r="J224" s="57"/>
      <c r="K224" s="57"/>
      <c r="M224" s="19"/>
      <c r="T224" s="20"/>
    </row>
    <row r="225" spans="1:20" s="18" customFormat="1" ht="12.75" customHeight="1" x14ac:dyDescent="0.2">
      <c r="A225" s="53"/>
      <c r="B225" s="53"/>
      <c r="C225" s="53"/>
      <c r="D225" s="53"/>
      <c r="E225" s="107" t="s">
        <v>71</v>
      </c>
      <c r="F225" s="85" t="s">
        <v>302</v>
      </c>
      <c r="G225" s="85" t="s">
        <v>302</v>
      </c>
      <c r="H225" s="85" t="s">
        <v>302</v>
      </c>
      <c r="I225" s="85"/>
      <c r="J225" s="57"/>
      <c r="K225" s="58"/>
      <c r="M225" s="19"/>
      <c r="T225" s="20"/>
    </row>
    <row r="226" spans="1:20" s="18" customFormat="1" ht="12.75" customHeight="1" x14ac:dyDescent="0.2">
      <c r="A226" s="53"/>
      <c r="B226" s="53"/>
      <c r="C226" s="53"/>
      <c r="D226" s="53"/>
      <c r="E226" s="66" t="s">
        <v>70</v>
      </c>
      <c r="F226" s="85" t="s">
        <v>302</v>
      </c>
      <c r="G226" s="85" t="s">
        <v>302</v>
      </c>
      <c r="H226" s="85" t="s">
        <v>302</v>
      </c>
      <c r="I226" s="85"/>
      <c r="J226" s="57"/>
      <c r="K226" s="58"/>
      <c r="M226" s="19"/>
      <c r="T226" s="20"/>
    </row>
    <row r="227" spans="1:20" s="18" customFormat="1" ht="12.75" customHeight="1" x14ac:dyDescent="0.2">
      <c r="A227" s="53"/>
      <c r="B227" s="53"/>
      <c r="C227" s="53"/>
      <c r="D227" s="53"/>
      <c r="E227" s="66" t="s">
        <v>29</v>
      </c>
      <c r="F227" s="85" t="s">
        <v>302</v>
      </c>
      <c r="G227" s="85" t="s">
        <v>385</v>
      </c>
      <c r="H227" s="85" t="s">
        <v>391</v>
      </c>
      <c r="I227" s="85" t="s">
        <v>331</v>
      </c>
      <c r="J227" s="57"/>
      <c r="K227" s="58"/>
      <c r="M227" s="19"/>
      <c r="T227" s="20"/>
    </row>
    <row r="228" spans="1:20" s="18" customFormat="1" ht="12.75" customHeight="1" x14ac:dyDescent="0.2">
      <c r="A228" s="53"/>
      <c r="B228" s="53"/>
      <c r="C228" s="53"/>
      <c r="D228" s="53"/>
      <c r="E228" s="66" t="s">
        <v>28</v>
      </c>
      <c r="F228" s="85" t="s">
        <v>302</v>
      </c>
      <c r="G228" s="85" t="s">
        <v>382</v>
      </c>
      <c r="H228" s="85" t="s">
        <v>365</v>
      </c>
      <c r="I228" s="85" t="s">
        <v>325</v>
      </c>
      <c r="J228" s="57"/>
      <c r="K228" s="58"/>
      <c r="M228" s="19"/>
      <c r="T228" s="20"/>
    </row>
    <row r="229" spans="1:20" s="18" customFormat="1" ht="12.75" customHeight="1" x14ac:dyDescent="0.2">
      <c r="A229" s="53"/>
      <c r="B229" s="53"/>
      <c r="C229" s="53"/>
      <c r="D229" s="53"/>
      <c r="E229" s="66" t="s">
        <v>69</v>
      </c>
      <c r="F229" s="85" t="s">
        <v>304</v>
      </c>
      <c r="G229" s="85" t="s">
        <v>302</v>
      </c>
      <c r="H229" s="85" t="s">
        <v>302</v>
      </c>
      <c r="I229" s="85"/>
      <c r="J229" s="57"/>
      <c r="K229" s="58"/>
      <c r="M229" s="19"/>
      <c r="T229" s="20"/>
    </row>
    <row r="230" spans="1:20" s="18" customFormat="1" ht="12.75" customHeight="1" x14ac:dyDescent="0.2">
      <c r="A230" s="53"/>
      <c r="B230" s="53"/>
      <c r="C230" s="53"/>
      <c r="D230" s="53"/>
      <c r="E230" s="66" t="s">
        <v>68</v>
      </c>
      <c r="F230" s="85" t="s">
        <v>302</v>
      </c>
      <c r="G230" s="85" t="s">
        <v>302</v>
      </c>
      <c r="H230" s="85" t="s">
        <v>302</v>
      </c>
      <c r="I230" s="85"/>
      <c r="J230" s="57"/>
      <c r="K230" s="58"/>
      <c r="M230" s="19"/>
      <c r="T230" s="20"/>
    </row>
    <row r="231" spans="1:20" s="18" customFormat="1" ht="12.75" customHeight="1" x14ac:dyDescent="0.2">
      <c r="A231" s="53"/>
      <c r="B231" s="53"/>
      <c r="C231" s="53"/>
      <c r="D231" s="53"/>
      <c r="E231" s="66" t="s">
        <v>67</v>
      </c>
      <c r="F231" s="85" t="s">
        <v>304</v>
      </c>
      <c r="G231" s="85" t="s">
        <v>302</v>
      </c>
      <c r="H231" s="85" t="s">
        <v>302</v>
      </c>
      <c r="I231" s="85"/>
      <c r="J231" s="57"/>
      <c r="K231" s="58"/>
      <c r="M231" s="19"/>
      <c r="T231" s="20"/>
    </row>
    <row r="232" spans="1:20" s="18" customFormat="1" ht="12.75" customHeight="1" x14ac:dyDescent="0.2">
      <c r="A232" s="53"/>
      <c r="B232" s="53"/>
      <c r="C232" s="53"/>
      <c r="D232" s="53"/>
      <c r="E232" s="66" t="s">
        <v>66</v>
      </c>
      <c r="F232" s="85" t="s">
        <v>304</v>
      </c>
      <c r="G232" s="85" t="s">
        <v>302</v>
      </c>
      <c r="H232" s="85" t="s">
        <v>302</v>
      </c>
      <c r="I232" s="85"/>
      <c r="J232" s="57"/>
      <c r="K232" s="58"/>
      <c r="M232" s="19"/>
      <c r="T232" s="20"/>
    </row>
    <row r="233" spans="1:20" s="18" customFormat="1" ht="12.75" customHeight="1" x14ac:dyDescent="0.2">
      <c r="A233" s="53"/>
      <c r="B233" s="53"/>
      <c r="C233" s="53"/>
      <c r="D233" s="53"/>
      <c r="E233" s="66" t="s">
        <v>65</v>
      </c>
      <c r="F233" s="85" t="s">
        <v>304</v>
      </c>
      <c r="G233" s="85" t="s">
        <v>304</v>
      </c>
      <c r="H233" s="85" t="s">
        <v>302</v>
      </c>
      <c r="I233" s="85"/>
      <c r="J233" s="57"/>
      <c r="K233" s="58"/>
      <c r="M233" s="19"/>
      <c r="T233" s="20"/>
    </row>
    <row r="234" spans="1:20" s="18" customFormat="1" ht="12.75" customHeight="1" x14ac:dyDescent="0.2">
      <c r="A234" s="53"/>
      <c r="B234" s="53"/>
      <c r="C234" s="53"/>
      <c r="D234" s="53"/>
      <c r="E234" s="105" t="s">
        <v>64</v>
      </c>
      <c r="F234" s="85" t="s">
        <v>304</v>
      </c>
      <c r="G234" s="85" t="s">
        <v>304</v>
      </c>
      <c r="H234" s="85" t="s">
        <v>304</v>
      </c>
      <c r="I234" s="85"/>
      <c r="J234" s="57"/>
      <c r="K234" s="57"/>
      <c r="M234" s="19"/>
      <c r="T234" s="20"/>
    </row>
    <row r="235" spans="1:20" s="18" customFormat="1" ht="12.75" customHeight="1" x14ac:dyDescent="0.2">
      <c r="A235" s="53"/>
      <c r="B235" s="53"/>
      <c r="C235" s="53"/>
      <c r="D235" s="53"/>
      <c r="E235" s="105" t="s">
        <v>27</v>
      </c>
      <c r="F235" s="85" t="s">
        <v>304</v>
      </c>
      <c r="G235" s="85" t="s">
        <v>304</v>
      </c>
      <c r="H235" s="85" t="s">
        <v>304</v>
      </c>
      <c r="I235" s="85"/>
      <c r="J235" s="57"/>
      <c r="K235" s="57"/>
      <c r="M235" s="19"/>
      <c r="T235" s="20"/>
    </row>
    <row r="236" spans="1:20" s="18" customFormat="1" ht="12.75" customHeight="1" x14ac:dyDescent="0.2">
      <c r="A236" s="53"/>
      <c r="B236" s="53"/>
      <c r="C236" s="53"/>
      <c r="D236" s="53"/>
      <c r="E236" s="105" t="s">
        <v>57</v>
      </c>
      <c r="F236" s="85" t="s">
        <v>304</v>
      </c>
      <c r="G236" s="85" t="s">
        <v>304</v>
      </c>
      <c r="H236" s="85" t="s">
        <v>304</v>
      </c>
      <c r="I236" s="85"/>
      <c r="J236" s="57"/>
      <c r="K236" s="57"/>
      <c r="M236" s="19"/>
      <c r="T236" s="20"/>
    </row>
    <row r="237" spans="1:20" s="18" customFormat="1" ht="12.75" customHeight="1" thickBot="1" x14ac:dyDescent="0.25">
      <c r="A237" s="53"/>
      <c r="B237" s="53"/>
      <c r="C237" s="53"/>
      <c r="D237" s="53"/>
      <c r="E237" s="108" t="s">
        <v>63</v>
      </c>
      <c r="F237" s="92" t="s">
        <v>304</v>
      </c>
      <c r="G237" s="92" t="s">
        <v>304</v>
      </c>
      <c r="H237" s="92" t="s">
        <v>304</v>
      </c>
      <c r="I237" s="85"/>
      <c r="J237" s="57"/>
      <c r="K237" s="57"/>
      <c r="M237" s="19"/>
      <c r="T237" s="20"/>
    </row>
    <row r="238" spans="1:20" s="18" customFormat="1" ht="12.75" customHeight="1" x14ac:dyDescent="0.2">
      <c r="A238" s="53">
        <v>150</v>
      </c>
      <c r="B238" s="53" t="s">
        <v>62</v>
      </c>
      <c r="C238" s="53" t="s">
        <v>302</v>
      </c>
      <c r="D238" s="53"/>
      <c r="E238" s="67" t="s">
        <v>61</v>
      </c>
      <c r="F238" s="91" t="s">
        <v>302</v>
      </c>
      <c r="G238" s="85" t="s">
        <v>365</v>
      </c>
      <c r="H238" s="85" t="s">
        <v>365</v>
      </c>
      <c r="I238" s="85" t="s">
        <v>316</v>
      </c>
      <c r="J238" s="57"/>
      <c r="K238" s="58"/>
      <c r="M238" s="19"/>
      <c r="T238" s="20"/>
    </row>
    <row r="239" spans="1:20" s="18" customFormat="1" ht="12.75" customHeight="1" x14ac:dyDescent="0.2">
      <c r="A239" s="53"/>
      <c r="B239" s="53"/>
      <c r="C239" s="53"/>
      <c r="D239" s="53"/>
      <c r="E239" s="66" t="s">
        <v>60</v>
      </c>
      <c r="F239" s="85" t="s">
        <v>302</v>
      </c>
      <c r="G239" s="85" t="s">
        <v>381</v>
      </c>
      <c r="H239" s="85" t="s">
        <v>365</v>
      </c>
      <c r="I239" s="85" t="s">
        <v>321</v>
      </c>
      <c r="J239" s="57"/>
      <c r="K239" s="58"/>
      <c r="M239" s="19"/>
      <c r="T239" s="20"/>
    </row>
    <row r="240" spans="1:20" s="18" customFormat="1" ht="12.75" customHeight="1" x14ac:dyDescent="0.2">
      <c r="A240" s="53"/>
      <c r="B240" s="53"/>
      <c r="C240" s="53"/>
      <c r="D240" s="53"/>
      <c r="E240" s="66" t="s">
        <v>59</v>
      </c>
      <c r="F240" s="85" t="s">
        <v>302</v>
      </c>
      <c r="G240" s="85" t="s">
        <v>302</v>
      </c>
      <c r="H240" s="85" t="s">
        <v>302</v>
      </c>
      <c r="I240" s="85"/>
      <c r="J240" s="57"/>
      <c r="K240" s="58"/>
      <c r="M240" s="19"/>
      <c r="T240" s="20"/>
    </row>
    <row r="241" spans="1:20" s="18" customFormat="1" ht="12.75" customHeight="1" x14ac:dyDescent="0.2">
      <c r="A241" s="53"/>
      <c r="B241" s="53"/>
      <c r="C241" s="53"/>
      <c r="D241" s="53"/>
      <c r="E241" s="105" t="s">
        <v>58</v>
      </c>
      <c r="F241" s="85" t="s">
        <v>304</v>
      </c>
      <c r="G241" s="85" t="s">
        <v>304</v>
      </c>
      <c r="H241" s="85" t="s">
        <v>304</v>
      </c>
      <c r="I241" s="85"/>
      <c r="J241" s="57"/>
      <c r="K241" s="57"/>
      <c r="M241" s="19"/>
      <c r="T241" s="20"/>
    </row>
    <row r="242" spans="1:20" s="18" customFormat="1" ht="12.75" customHeight="1" x14ac:dyDescent="0.2">
      <c r="A242" s="53"/>
      <c r="B242" s="53"/>
      <c r="C242" s="53"/>
      <c r="D242" s="53"/>
      <c r="E242" s="105" t="s">
        <v>57</v>
      </c>
      <c r="F242" s="85" t="s">
        <v>304</v>
      </c>
      <c r="G242" s="85" t="s">
        <v>304</v>
      </c>
      <c r="H242" s="85" t="s">
        <v>304</v>
      </c>
      <c r="I242" s="85"/>
      <c r="J242" s="57"/>
      <c r="K242" s="57"/>
      <c r="M242" s="19"/>
      <c r="T242" s="20"/>
    </row>
    <row r="243" spans="1:20" s="18" customFormat="1" ht="12.75" customHeight="1" x14ac:dyDescent="0.2">
      <c r="A243" s="53"/>
      <c r="B243" s="53"/>
      <c r="C243" s="53"/>
      <c r="D243" s="53"/>
      <c r="E243" s="105" t="s">
        <v>56</v>
      </c>
      <c r="F243" s="85" t="s">
        <v>304</v>
      </c>
      <c r="G243" s="85" t="s">
        <v>304</v>
      </c>
      <c r="H243" s="85" t="s">
        <v>304</v>
      </c>
      <c r="I243" s="85"/>
      <c r="J243" s="57"/>
      <c r="K243" s="57"/>
      <c r="M243" s="19"/>
      <c r="T243" s="20"/>
    </row>
    <row r="244" spans="1:20" s="18" customFormat="1" ht="12.75" customHeight="1" x14ac:dyDescent="0.2">
      <c r="A244" s="53"/>
      <c r="B244" s="53"/>
      <c r="C244" s="53"/>
      <c r="D244" s="53"/>
      <c r="E244" s="105" t="s">
        <v>55</v>
      </c>
      <c r="F244" s="85" t="s">
        <v>304</v>
      </c>
      <c r="G244" s="85" t="s">
        <v>304</v>
      </c>
      <c r="H244" s="85" t="s">
        <v>304</v>
      </c>
      <c r="I244" s="85"/>
      <c r="J244" s="57"/>
      <c r="K244" s="57"/>
      <c r="M244" s="19"/>
      <c r="T244" s="20"/>
    </row>
    <row r="245" spans="1:20" s="18" customFormat="1" ht="12.75" customHeight="1" x14ac:dyDescent="0.2">
      <c r="A245" s="53"/>
      <c r="B245" s="53"/>
      <c r="C245" s="53"/>
      <c r="D245" s="53"/>
      <c r="E245" s="66" t="s">
        <v>8</v>
      </c>
      <c r="F245" s="85" t="s">
        <v>304</v>
      </c>
      <c r="G245" s="85" t="s">
        <v>302</v>
      </c>
      <c r="H245" s="85" t="s">
        <v>302</v>
      </c>
      <c r="I245" s="85"/>
      <c r="J245" s="57"/>
      <c r="K245" s="58"/>
      <c r="M245" s="19"/>
      <c r="T245" s="20"/>
    </row>
    <row r="246" spans="1:20" s="18" customFormat="1" ht="12.75" customHeight="1" x14ac:dyDescent="0.2">
      <c r="A246" s="53"/>
      <c r="B246" s="53"/>
      <c r="C246" s="53"/>
      <c r="D246" s="53"/>
      <c r="E246" s="105" t="s">
        <v>54</v>
      </c>
      <c r="F246" s="85" t="s">
        <v>304</v>
      </c>
      <c r="G246" s="85" t="s">
        <v>304</v>
      </c>
      <c r="H246" s="85" t="s">
        <v>304</v>
      </c>
      <c r="I246" s="85"/>
      <c r="J246" s="57"/>
      <c r="K246" s="57"/>
      <c r="M246" s="19"/>
      <c r="T246" s="20"/>
    </row>
    <row r="247" spans="1:20" s="18" customFormat="1" ht="12.75" customHeight="1" x14ac:dyDescent="0.2">
      <c r="A247" s="53"/>
      <c r="B247" s="53"/>
      <c r="C247" s="53"/>
      <c r="D247" s="53"/>
      <c r="E247" s="105" t="s">
        <v>53</v>
      </c>
      <c r="F247" s="85" t="s">
        <v>304</v>
      </c>
      <c r="G247" s="85" t="s">
        <v>304</v>
      </c>
      <c r="H247" s="85" t="s">
        <v>304</v>
      </c>
      <c r="I247" s="85"/>
      <c r="J247" s="57"/>
      <c r="K247" s="57"/>
      <c r="M247" s="19"/>
      <c r="T247" s="20"/>
    </row>
    <row r="248" spans="1:20" s="18" customFormat="1" ht="12.75" customHeight="1" x14ac:dyDescent="0.2">
      <c r="A248" s="53"/>
      <c r="B248" s="53"/>
      <c r="C248" s="53"/>
      <c r="D248" s="53"/>
      <c r="E248" s="105" t="s">
        <v>52</v>
      </c>
      <c r="F248" s="85" t="s">
        <v>304</v>
      </c>
      <c r="G248" s="85" t="s">
        <v>304</v>
      </c>
      <c r="H248" s="85" t="s">
        <v>304</v>
      </c>
      <c r="I248" s="85"/>
      <c r="J248" s="57"/>
      <c r="K248" s="57"/>
      <c r="M248" s="19"/>
      <c r="T248" s="20"/>
    </row>
    <row r="249" spans="1:20" s="18" customFormat="1" ht="12.75" customHeight="1" x14ac:dyDescent="0.2">
      <c r="A249" s="53"/>
      <c r="B249" s="53"/>
      <c r="C249" s="53"/>
      <c r="D249" s="53"/>
      <c r="E249" s="105" t="s">
        <v>211</v>
      </c>
      <c r="F249" s="85" t="s">
        <v>304</v>
      </c>
      <c r="G249" s="85" t="s">
        <v>304</v>
      </c>
      <c r="H249" s="85" t="s">
        <v>304</v>
      </c>
      <c r="I249" s="85"/>
      <c r="J249" s="57"/>
      <c r="K249" s="57"/>
      <c r="M249" s="19"/>
      <c r="T249" s="20"/>
    </row>
    <row r="250" spans="1:20" s="18" customFormat="1" ht="12.75" customHeight="1" x14ac:dyDescent="0.2">
      <c r="A250" s="53"/>
      <c r="B250" s="53"/>
      <c r="C250" s="53"/>
      <c r="D250" s="53"/>
      <c r="E250" s="105" t="s">
        <v>51</v>
      </c>
      <c r="F250" s="85" t="s">
        <v>304</v>
      </c>
      <c r="G250" s="85" t="s">
        <v>304</v>
      </c>
      <c r="H250" s="85" t="s">
        <v>304</v>
      </c>
      <c r="I250" s="85"/>
      <c r="J250" s="57"/>
      <c r="K250" s="57"/>
      <c r="M250" s="19"/>
      <c r="T250" s="20"/>
    </row>
    <row r="251" spans="1:20" s="18" customFormat="1" ht="12.75" customHeight="1" x14ac:dyDescent="0.2">
      <c r="A251" s="53"/>
      <c r="B251" s="53"/>
      <c r="C251" s="53"/>
      <c r="D251" s="53"/>
      <c r="E251" s="105" t="s">
        <v>50</v>
      </c>
      <c r="F251" s="85" t="s">
        <v>304</v>
      </c>
      <c r="G251" s="85" t="s">
        <v>304</v>
      </c>
      <c r="H251" s="85" t="s">
        <v>304</v>
      </c>
      <c r="I251" s="85"/>
      <c r="J251" s="57"/>
      <c r="K251" s="57"/>
      <c r="M251" s="19"/>
      <c r="T251" s="20"/>
    </row>
    <row r="252" spans="1:20" s="18" customFormat="1" ht="12.75" customHeight="1" x14ac:dyDescent="0.2">
      <c r="A252" s="53"/>
      <c r="B252" s="53"/>
      <c r="C252" s="53"/>
      <c r="D252" s="53"/>
      <c r="E252" s="105" t="s">
        <v>49</v>
      </c>
      <c r="F252" s="85" t="s">
        <v>304</v>
      </c>
      <c r="G252" s="85" t="s">
        <v>304</v>
      </c>
      <c r="H252" s="85" t="s">
        <v>304</v>
      </c>
      <c r="I252" s="85"/>
      <c r="J252" s="57"/>
      <c r="K252" s="57"/>
      <c r="M252" s="19"/>
      <c r="T252" s="20"/>
    </row>
    <row r="253" spans="1:20" s="18" customFormat="1" ht="12.75" customHeight="1" x14ac:dyDescent="0.2">
      <c r="A253" s="53"/>
      <c r="B253" s="53"/>
      <c r="C253" s="53"/>
      <c r="D253" s="53"/>
      <c r="E253" s="105" t="s">
        <v>48</v>
      </c>
      <c r="F253" s="85" t="s">
        <v>304</v>
      </c>
      <c r="G253" s="85" t="s">
        <v>304</v>
      </c>
      <c r="H253" s="85" t="s">
        <v>304</v>
      </c>
      <c r="I253" s="85"/>
      <c r="J253" s="57"/>
      <c r="K253" s="57"/>
      <c r="M253" s="19"/>
      <c r="T253" s="20"/>
    </row>
    <row r="254" spans="1:20" s="18" customFormat="1" ht="12.75" customHeight="1" thickBot="1" x14ac:dyDescent="0.25">
      <c r="A254" s="53"/>
      <c r="B254" s="53"/>
      <c r="C254" s="53"/>
      <c r="D254" s="53"/>
      <c r="E254" s="60" t="s">
        <v>18</v>
      </c>
      <c r="F254" s="92" t="s">
        <v>304</v>
      </c>
      <c r="G254" s="92" t="s">
        <v>302</v>
      </c>
      <c r="H254" s="92" t="s">
        <v>302</v>
      </c>
      <c r="I254" s="85"/>
      <c r="J254" s="57"/>
      <c r="K254" s="58"/>
      <c r="M254" s="19"/>
      <c r="T254" s="20"/>
    </row>
    <row r="255" spans="1:20" s="18" customFormat="1" ht="12.75" customHeight="1" x14ac:dyDescent="0.2">
      <c r="A255" s="53">
        <v>160</v>
      </c>
      <c r="B255" s="53" t="s">
        <v>47</v>
      </c>
      <c r="C255" s="53" t="s">
        <v>302</v>
      </c>
      <c r="D255" s="53"/>
      <c r="E255" s="103" t="s">
        <v>46</v>
      </c>
      <c r="F255" s="91" t="s">
        <v>302</v>
      </c>
      <c r="G255" s="91" t="s">
        <v>302</v>
      </c>
      <c r="H255" s="91" t="s">
        <v>302</v>
      </c>
      <c r="I255" s="85"/>
      <c r="J255" s="57"/>
      <c r="K255" s="58"/>
      <c r="M255" s="19"/>
      <c r="T255" s="20"/>
    </row>
    <row r="256" spans="1:20" s="18" customFormat="1" ht="12.75" customHeight="1" x14ac:dyDescent="0.2">
      <c r="A256" s="53"/>
      <c r="B256" s="53"/>
      <c r="C256" s="53"/>
      <c r="D256" s="53"/>
      <c r="E256" s="66" t="s">
        <v>45</v>
      </c>
      <c r="F256" s="85" t="s">
        <v>302</v>
      </c>
      <c r="G256" s="85" t="s">
        <v>375</v>
      </c>
      <c r="H256" s="104" t="s">
        <v>375</v>
      </c>
      <c r="I256" s="85" t="s">
        <v>303</v>
      </c>
      <c r="J256" s="57"/>
      <c r="K256" s="58"/>
      <c r="M256" s="19"/>
      <c r="T256" s="20"/>
    </row>
    <row r="257" spans="1:20" s="18" customFormat="1" ht="12.75" customHeight="1" x14ac:dyDescent="0.2">
      <c r="A257" s="53"/>
      <c r="B257" s="53"/>
      <c r="C257" s="53"/>
      <c r="D257" s="53"/>
      <c r="E257" s="107" t="s">
        <v>44</v>
      </c>
      <c r="F257" s="85" t="s">
        <v>302</v>
      </c>
      <c r="G257" s="85" t="s">
        <v>302</v>
      </c>
      <c r="H257" s="85" t="s">
        <v>302</v>
      </c>
      <c r="I257" s="85"/>
      <c r="J257" s="57"/>
      <c r="K257" s="58"/>
      <c r="M257" s="19"/>
      <c r="T257" s="20"/>
    </row>
    <row r="258" spans="1:20" s="18" customFormat="1" ht="12.75" customHeight="1" x14ac:dyDescent="0.2">
      <c r="A258" s="53"/>
      <c r="B258" s="53"/>
      <c r="C258" s="53"/>
      <c r="D258" s="53"/>
      <c r="E258" s="66" t="s">
        <v>43</v>
      </c>
      <c r="F258" s="85" t="s">
        <v>302</v>
      </c>
      <c r="G258" s="85" t="s">
        <v>302</v>
      </c>
      <c r="H258" s="85" t="s">
        <v>302</v>
      </c>
      <c r="I258" s="85"/>
      <c r="J258" s="57"/>
      <c r="K258" s="58"/>
      <c r="M258" s="19"/>
      <c r="T258" s="20"/>
    </row>
    <row r="259" spans="1:20" s="18" customFormat="1" ht="12.75" customHeight="1" x14ac:dyDescent="0.2">
      <c r="A259" s="53"/>
      <c r="B259" s="53"/>
      <c r="C259" s="53"/>
      <c r="D259" s="53"/>
      <c r="E259" s="66" t="s">
        <v>42</v>
      </c>
      <c r="F259" s="85" t="s">
        <v>302</v>
      </c>
      <c r="G259" s="85" t="s">
        <v>302</v>
      </c>
      <c r="H259" s="85" t="s">
        <v>302</v>
      </c>
      <c r="I259" s="85"/>
      <c r="J259" s="57"/>
      <c r="K259" s="58"/>
      <c r="M259" s="19"/>
      <c r="T259" s="20"/>
    </row>
    <row r="260" spans="1:20" s="18" customFormat="1" ht="12.75" customHeight="1" x14ac:dyDescent="0.2">
      <c r="A260" s="53"/>
      <c r="B260" s="53"/>
      <c r="C260" s="53"/>
      <c r="D260" s="53"/>
      <c r="E260" s="66" t="s">
        <v>41</v>
      </c>
      <c r="F260" s="85" t="s">
        <v>302</v>
      </c>
      <c r="G260" s="85" t="s">
        <v>302</v>
      </c>
      <c r="H260" s="85" t="s">
        <v>302</v>
      </c>
      <c r="I260" s="85"/>
      <c r="J260" s="57"/>
      <c r="K260" s="58"/>
      <c r="M260" s="19"/>
      <c r="T260" s="20"/>
    </row>
    <row r="261" spans="1:20" s="18" customFormat="1" ht="12.75" customHeight="1" x14ac:dyDescent="0.2">
      <c r="A261" s="53"/>
      <c r="B261" s="53"/>
      <c r="C261" s="53"/>
      <c r="D261" s="53"/>
      <c r="E261" s="66" t="s">
        <v>40</v>
      </c>
      <c r="F261" s="85" t="s">
        <v>302</v>
      </c>
      <c r="G261" s="85" t="s">
        <v>353</v>
      </c>
      <c r="H261" s="85" t="s">
        <v>365</v>
      </c>
      <c r="I261" s="85" t="s">
        <v>323</v>
      </c>
      <c r="J261" s="57"/>
      <c r="K261" s="58"/>
      <c r="M261" s="19"/>
      <c r="T261" s="20"/>
    </row>
    <row r="262" spans="1:20" s="18" customFormat="1" ht="12.75" customHeight="1" x14ac:dyDescent="0.2">
      <c r="A262" s="53"/>
      <c r="B262" s="53"/>
      <c r="C262" s="53"/>
      <c r="D262" s="53"/>
      <c r="E262" s="66" t="s">
        <v>39</v>
      </c>
      <c r="F262" s="85" t="s">
        <v>302</v>
      </c>
      <c r="G262" s="85" t="s">
        <v>302</v>
      </c>
      <c r="H262" s="85" t="s">
        <v>353</v>
      </c>
      <c r="I262" s="85" t="s">
        <v>306</v>
      </c>
      <c r="J262" s="57"/>
      <c r="K262" s="58"/>
      <c r="M262" s="19"/>
      <c r="T262" s="20"/>
    </row>
    <row r="263" spans="1:20" s="18" customFormat="1" ht="12.75" customHeight="1" x14ac:dyDescent="0.2">
      <c r="A263" s="53"/>
      <c r="B263" s="53"/>
      <c r="C263" s="53"/>
      <c r="D263" s="53"/>
      <c r="E263" s="107" t="s">
        <v>38</v>
      </c>
      <c r="F263" s="85" t="s">
        <v>302</v>
      </c>
      <c r="G263" s="85" t="s">
        <v>302</v>
      </c>
      <c r="H263" s="85" t="s">
        <v>302</v>
      </c>
      <c r="I263" s="85"/>
      <c r="J263" s="57"/>
      <c r="K263" s="58"/>
      <c r="M263" s="19"/>
      <c r="T263" s="20"/>
    </row>
    <row r="264" spans="1:20" s="18" customFormat="1" ht="12.75" customHeight="1" x14ac:dyDescent="0.2">
      <c r="A264" s="53"/>
      <c r="B264" s="53"/>
      <c r="C264" s="53"/>
      <c r="D264" s="53"/>
      <c r="E264" s="66" t="s">
        <v>37</v>
      </c>
      <c r="F264" s="85" t="s">
        <v>302</v>
      </c>
      <c r="G264" s="85" t="s">
        <v>302</v>
      </c>
      <c r="H264" s="85" t="s">
        <v>354</v>
      </c>
      <c r="I264" s="85" t="s">
        <v>309</v>
      </c>
      <c r="J264" s="57"/>
      <c r="K264" s="58"/>
      <c r="M264" s="19"/>
      <c r="T264" s="20"/>
    </row>
    <row r="265" spans="1:20" s="18" customFormat="1" ht="12.75" customHeight="1" x14ac:dyDescent="0.2">
      <c r="A265" s="53"/>
      <c r="B265" s="53"/>
      <c r="C265" s="53"/>
      <c r="D265" s="53"/>
      <c r="E265" s="66" t="s">
        <v>36</v>
      </c>
      <c r="F265" s="85" t="s">
        <v>302</v>
      </c>
      <c r="G265" s="85" t="s">
        <v>353</v>
      </c>
      <c r="H265" s="85" t="s">
        <v>353</v>
      </c>
      <c r="I265" s="85" t="s">
        <v>328</v>
      </c>
      <c r="J265" s="57"/>
      <c r="K265" s="58"/>
      <c r="M265" s="19"/>
      <c r="T265" s="20"/>
    </row>
    <row r="266" spans="1:20" s="18" customFormat="1" ht="12.75" customHeight="1" x14ac:dyDescent="0.2">
      <c r="A266" s="53"/>
      <c r="B266" s="53"/>
      <c r="C266" s="53"/>
      <c r="D266" s="53"/>
      <c r="E266" s="66" t="s">
        <v>35</v>
      </c>
      <c r="F266" s="85" t="s">
        <v>302</v>
      </c>
      <c r="G266" s="85" t="s">
        <v>302</v>
      </c>
      <c r="H266" s="85" t="s">
        <v>302</v>
      </c>
      <c r="I266" s="85"/>
      <c r="J266" s="57"/>
      <c r="K266" s="58"/>
      <c r="M266" s="19"/>
      <c r="T266" s="20"/>
    </row>
    <row r="267" spans="1:20" s="18" customFormat="1" ht="12.75" customHeight="1" x14ac:dyDescent="0.2">
      <c r="A267" s="53"/>
      <c r="B267" s="53"/>
      <c r="C267" s="53"/>
      <c r="D267" s="53"/>
      <c r="E267" s="107" t="s">
        <v>34</v>
      </c>
      <c r="F267" s="85" t="s">
        <v>302</v>
      </c>
      <c r="G267" s="85" t="s">
        <v>302</v>
      </c>
      <c r="H267" s="85" t="s">
        <v>302</v>
      </c>
      <c r="I267" s="85"/>
      <c r="J267" s="57"/>
      <c r="K267" s="58"/>
      <c r="M267" s="19"/>
      <c r="T267" s="20"/>
    </row>
    <row r="268" spans="1:20" s="18" customFormat="1" ht="12.75" customHeight="1" x14ac:dyDescent="0.2">
      <c r="A268" s="53"/>
      <c r="B268" s="53"/>
      <c r="C268" s="53"/>
      <c r="D268" s="53"/>
      <c r="E268" s="66" t="s">
        <v>33</v>
      </c>
      <c r="F268" s="85" t="s">
        <v>302</v>
      </c>
      <c r="G268" s="85" t="s">
        <v>302</v>
      </c>
      <c r="H268" s="85" t="s">
        <v>302</v>
      </c>
      <c r="I268" s="85"/>
      <c r="J268" s="57"/>
      <c r="K268" s="58"/>
      <c r="M268" s="19"/>
      <c r="T268" s="20"/>
    </row>
    <row r="269" spans="1:20" s="18" customFormat="1" ht="12.75" customHeight="1" x14ac:dyDescent="0.2">
      <c r="A269" s="53"/>
      <c r="B269" s="53"/>
      <c r="C269" s="53"/>
      <c r="D269" s="53"/>
      <c r="E269" s="66" t="s">
        <v>167</v>
      </c>
      <c r="F269" s="85" t="s">
        <v>302</v>
      </c>
      <c r="G269" s="85" t="s">
        <v>302</v>
      </c>
      <c r="H269" s="85" t="s">
        <v>302</v>
      </c>
      <c r="I269" s="85"/>
      <c r="J269" s="57"/>
      <c r="K269" s="58"/>
      <c r="M269" s="19"/>
      <c r="T269" s="20"/>
    </row>
    <row r="270" spans="1:20" s="18" customFormat="1" ht="12.75" customHeight="1" x14ac:dyDescent="0.2">
      <c r="A270" s="53"/>
      <c r="B270" s="53"/>
      <c r="C270" s="53"/>
      <c r="D270" s="53"/>
      <c r="E270" s="105" t="s">
        <v>32</v>
      </c>
      <c r="F270" s="85" t="s">
        <v>304</v>
      </c>
      <c r="G270" s="85" t="s">
        <v>304</v>
      </c>
      <c r="H270" s="85" t="s">
        <v>304</v>
      </c>
      <c r="I270" s="85"/>
      <c r="J270" s="57"/>
      <c r="K270" s="57"/>
      <c r="M270" s="19"/>
      <c r="T270" s="20"/>
    </row>
    <row r="271" spans="1:20" s="18" customFormat="1" ht="12.75" customHeight="1" x14ac:dyDescent="0.2">
      <c r="A271" s="53"/>
      <c r="B271" s="53"/>
      <c r="C271" s="53"/>
      <c r="D271" s="53"/>
      <c r="E271" s="105" t="s">
        <v>31</v>
      </c>
      <c r="F271" s="85" t="s">
        <v>304</v>
      </c>
      <c r="G271" s="85" t="s">
        <v>304</v>
      </c>
      <c r="H271" s="85" t="s">
        <v>304</v>
      </c>
      <c r="I271" s="85"/>
      <c r="J271" s="57"/>
      <c r="K271" s="57"/>
      <c r="M271" s="19"/>
      <c r="T271" s="20"/>
    </row>
    <row r="272" spans="1:20" s="18" customFormat="1" ht="12.75" customHeight="1" x14ac:dyDescent="0.2">
      <c r="A272" s="53"/>
      <c r="B272" s="53"/>
      <c r="C272" s="53"/>
      <c r="D272" s="53"/>
      <c r="E272" s="107" t="s">
        <v>30</v>
      </c>
      <c r="F272" s="85" t="s">
        <v>302</v>
      </c>
      <c r="G272" s="85" t="s">
        <v>302</v>
      </c>
      <c r="H272" s="85" t="s">
        <v>302</v>
      </c>
      <c r="I272" s="85"/>
      <c r="J272" s="57"/>
      <c r="K272" s="58"/>
      <c r="M272" s="19"/>
      <c r="T272" s="20"/>
    </row>
    <row r="273" spans="1:20" s="18" customFormat="1" ht="12.75" customHeight="1" x14ac:dyDescent="0.2">
      <c r="A273" s="53"/>
      <c r="B273" s="53"/>
      <c r="C273" s="53"/>
      <c r="D273" s="53"/>
      <c r="E273" s="66" t="s">
        <v>29</v>
      </c>
      <c r="F273" s="85" t="s">
        <v>302</v>
      </c>
      <c r="G273" s="85" t="s">
        <v>385</v>
      </c>
      <c r="H273" s="85" t="s">
        <v>391</v>
      </c>
      <c r="I273" s="85" t="s">
        <v>331</v>
      </c>
      <c r="J273" s="57"/>
      <c r="K273" s="58"/>
      <c r="M273" s="19"/>
      <c r="T273" s="20"/>
    </row>
    <row r="274" spans="1:20" s="18" customFormat="1" ht="12.75" customHeight="1" x14ac:dyDescent="0.2">
      <c r="A274" s="53"/>
      <c r="B274" s="53"/>
      <c r="C274" s="53"/>
      <c r="D274" s="53"/>
      <c r="E274" s="66" t="s">
        <v>28</v>
      </c>
      <c r="F274" s="85" t="s">
        <v>302</v>
      </c>
      <c r="G274" s="85" t="s">
        <v>382</v>
      </c>
      <c r="H274" s="85" t="s">
        <v>365</v>
      </c>
      <c r="I274" s="85" t="s">
        <v>325</v>
      </c>
      <c r="J274" s="57"/>
      <c r="K274" s="58"/>
      <c r="M274" s="19"/>
      <c r="T274" s="20"/>
    </row>
    <row r="275" spans="1:20" s="18" customFormat="1" ht="12.75" customHeight="1" x14ac:dyDescent="0.2">
      <c r="A275" s="53"/>
      <c r="B275" s="53"/>
      <c r="C275" s="53"/>
      <c r="D275" s="53"/>
      <c r="E275" s="105" t="s">
        <v>27</v>
      </c>
      <c r="F275" s="85" t="s">
        <v>304</v>
      </c>
      <c r="G275" s="85" t="s">
        <v>304</v>
      </c>
      <c r="H275" s="85" t="s">
        <v>304</v>
      </c>
      <c r="I275" s="85"/>
      <c r="J275" s="57"/>
      <c r="K275" s="57"/>
      <c r="M275" s="19"/>
      <c r="T275" s="20"/>
    </row>
    <row r="276" spans="1:20" s="18" customFormat="1" ht="12.75" customHeight="1" x14ac:dyDescent="0.2">
      <c r="A276" s="53"/>
      <c r="B276" s="53"/>
      <c r="C276" s="53"/>
      <c r="D276" s="53"/>
      <c r="E276" s="66" t="s">
        <v>26</v>
      </c>
      <c r="F276" s="85" t="s">
        <v>302</v>
      </c>
      <c r="G276" s="85" t="s">
        <v>302</v>
      </c>
      <c r="H276" s="85" t="s">
        <v>302</v>
      </c>
      <c r="I276" s="85"/>
      <c r="J276" s="57"/>
      <c r="K276" s="58"/>
      <c r="M276" s="19"/>
      <c r="T276" s="20"/>
    </row>
    <row r="277" spans="1:20" s="18" customFormat="1" ht="12.75" customHeight="1" x14ac:dyDescent="0.2">
      <c r="A277" s="53"/>
      <c r="B277" s="53"/>
      <c r="C277" s="53"/>
      <c r="D277" s="53"/>
      <c r="E277" s="107" t="s">
        <v>1</v>
      </c>
      <c r="F277" s="85" t="s">
        <v>302</v>
      </c>
      <c r="G277" s="85" t="s">
        <v>302</v>
      </c>
      <c r="H277" s="85" t="s">
        <v>302</v>
      </c>
      <c r="I277" s="85"/>
      <c r="J277" s="57"/>
      <c r="K277" s="58"/>
      <c r="M277" s="19"/>
      <c r="T277" s="20"/>
    </row>
    <row r="278" spans="1:20" s="18" customFormat="1" ht="12.75" customHeight="1" x14ac:dyDescent="0.2">
      <c r="A278" s="53"/>
      <c r="B278" s="53"/>
      <c r="C278" s="53"/>
      <c r="D278" s="53"/>
      <c r="E278" s="66" t="s">
        <v>25</v>
      </c>
      <c r="F278" s="85" t="s">
        <v>302</v>
      </c>
      <c r="G278" s="85" t="s">
        <v>380</v>
      </c>
      <c r="H278" s="85" t="s">
        <v>354</v>
      </c>
      <c r="I278" s="85" t="s">
        <v>319</v>
      </c>
      <c r="J278" s="57"/>
      <c r="K278" s="58"/>
      <c r="M278" s="19"/>
      <c r="T278" s="20"/>
    </row>
    <row r="279" spans="1:20" s="18" customFormat="1" ht="12.75" customHeight="1" x14ac:dyDescent="0.2">
      <c r="A279" s="53"/>
      <c r="B279" s="53"/>
      <c r="C279" s="53"/>
      <c r="D279" s="53"/>
      <c r="E279" s="66" t="s">
        <v>0</v>
      </c>
      <c r="F279" s="85" t="s">
        <v>302</v>
      </c>
      <c r="G279" s="85" t="s">
        <v>365</v>
      </c>
      <c r="H279" s="85" t="s">
        <v>365</v>
      </c>
      <c r="I279" s="85" t="s">
        <v>316</v>
      </c>
      <c r="J279" s="57"/>
      <c r="K279" s="58"/>
      <c r="M279" s="19"/>
      <c r="T279" s="20"/>
    </row>
    <row r="280" spans="1:20" s="18" customFormat="1" ht="12.75" customHeight="1" x14ac:dyDescent="0.2">
      <c r="A280" s="53"/>
      <c r="B280" s="53"/>
      <c r="C280" s="53"/>
      <c r="D280" s="53"/>
      <c r="E280" s="66" t="s">
        <v>24</v>
      </c>
      <c r="F280" s="85" t="s">
        <v>304</v>
      </c>
      <c r="G280" s="85" t="s">
        <v>386</v>
      </c>
      <c r="H280" s="104" t="s">
        <v>386</v>
      </c>
      <c r="I280" s="85" t="s">
        <v>333</v>
      </c>
      <c r="J280" s="57"/>
      <c r="K280" s="58"/>
      <c r="M280" s="19"/>
      <c r="T280" s="20"/>
    </row>
    <row r="281" spans="1:20" s="18" customFormat="1" ht="12.75" customHeight="1" x14ac:dyDescent="0.2">
      <c r="A281" s="53"/>
      <c r="B281" s="53"/>
      <c r="C281" s="53"/>
      <c r="D281" s="53"/>
      <c r="E281" s="66" t="s">
        <v>23</v>
      </c>
      <c r="F281" s="85" t="s">
        <v>302</v>
      </c>
      <c r="G281" s="85" t="s">
        <v>302</v>
      </c>
      <c r="H281" s="85" t="s">
        <v>353</v>
      </c>
      <c r="I281" s="85" t="s">
        <v>306</v>
      </c>
      <c r="J281" s="57"/>
      <c r="K281" s="58"/>
      <c r="M281" s="19"/>
      <c r="T281" s="20"/>
    </row>
    <row r="282" spans="1:20" s="18" customFormat="1" ht="12.75" customHeight="1" x14ac:dyDescent="0.2">
      <c r="A282" s="53"/>
      <c r="B282" s="53"/>
      <c r="C282" s="53"/>
      <c r="D282" s="53"/>
      <c r="E282" s="66" t="s">
        <v>22</v>
      </c>
      <c r="F282" s="85" t="s">
        <v>304</v>
      </c>
      <c r="G282" s="85" t="s">
        <v>304</v>
      </c>
      <c r="H282" s="85" t="s">
        <v>302</v>
      </c>
      <c r="I282" s="85"/>
      <c r="J282" s="57"/>
      <c r="K282" s="58"/>
      <c r="M282" s="19"/>
      <c r="T282" s="20"/>
    </row>
    <row r="283" spans="1:20" s="18" customFormat="1" ht="12.75" customHeight="1" x14ac:dyDescent="0.2">
      <c r="A283" s="53"/>
      <c r="B283" s="53"/>
      <c r="C283" s="53"/>
      <c r="D283" s="53"/>
      <c r="E283" s="66" t="s">
        <v>21</v>
      </c>
      <c r="F283" s="85" t="s">
        <v>304</v>
      </c>
      <c r="G283" s="85" t="s">
        <v>353</v>
      </c>
      <c r="H283" s="85" t="s">
        <v>354</v>
      </c>
      <c r="I283" s="85" t="s">
        <v>308</v>
      </c>
      <c r="J283" s="57"/>
      <c r="K283" s="58"/>
      <c r="M283" s="19"/>
      <c r="T283" s="20"/>
    </row>
    <row r="284" spans="1:20" s="18" customFormat="1" ht="12.75" customHeight="1" x14ac:dyDescent="0.2">
      <c r="A284" s="53"/>
      <c r="B284" s="53"/>
      <c r="C284" s="53"/>
      <c r="D284" s="53"/>
      <c r="E284" s="66" t="s">
        <v>20</v>
      </c>
      <c r="F284" s="85" t="s">
        <v>304</v>
      </c>
      <c r="G284" s="85" t="s">
        <v>302</v>
      </c>
      <c r="H284" s="85" t="s">
        <v>353</v>
      </c>
      <c r="I284" s="85" t="s">
        <v>306</v>
      </c>
      <c r="J284" s="57"/>
      <c r="K284" s="58"/>
      <c r="M284" s="19"/>
      <c r="T284" s="20"/>
    </row>
    <row r="285" spans="1:20" s="18" customFormat="1" ht="12.75" customHeight="1" x14ac:dyDescent="0.2">
      <c r="A285" s="53"/>
      <c r="B285" s="53"/>
      <c r="C285" s="53"/>
      <c r="D285" s="53"/>
      <c r="E285" s="66" t="s">
        <v>19</v>
      </c>
      <c r="F285" s="85" t="s">
        <v>304</v>
      </c>
      <c r="G285" s="85" t="s">
        <v>302</v>
      </c>
      <c r="H285" s="85" t="s">
        <v>302</v>
      </c>
      <c r="I285" s="85"/>
      <c r="J285" s="57"/>
      <c r="K285" s="58"/>
      <c r="M285" s="19"/>
      <c r="T285" s="20"/>
    </row>
    <row r="286" spans="1:20" s="18" customFormat="1" ht="12.75" customHeight="1" x14ac:dyDescent="0.2">
      <c r="A286" s="53"/>
      <c r="B286" s="53"/>
      <c r="C286" s="53"/>
      <c r="D286" s="53"/>
      <c r="E286" s="66" t="s">
        <v>18</v>
      </c>
      <c r="F286" s="85" t="s">
        <v>304</v>
      </c>
      <c r="G286" s="85" t="s">
        <v>302</v>
      </c>
      <c r="H286" s="85" t="s">
        <v>302</v>
      </c>
      <c r="I286" s="85"/>
      <c r="J286" s="57"/>
      <c r="K286" s="58"/>
      <c r="M286" s="19"/>
      <c r="T286" s="20"/>
    </row>
    <row r="287" spans="1:20" s="18" customFormat="1" ht="12.75" customHeight="1" x14ac:dyDescent="0.2">
      <c r="A287" s="53"/>
      <c r="B287" s="53"/>
      <c r="C287" s="53"/>
      <c r="D287" s="53"/>
      <c r="E287" s="66" t="s">
        <v>17</v>
      </c>
      <c r="F287" s="85" t="s">
        <v>302</v>
      </c>
      <c r="G287" s="85" t="s">
        <v>302</v>
      </c>
      <c r="H287" s="85" t="s">
        <v>302</v>
      </c>
      <c r="I287" s="85"/>
      <c r="J287" s="57"/>
      <c r="K287" s="58"/>
      <c r="M287" s="19"/>
      <c r="T287" s="20"/>
    </row>
    <row r="288" spans="1:20" s="18" customFormat="1" ht="12.75" customHeight="1" x14ac:dyDescent="0.2">
      <c r="A288" s="53"/>
      <c r="B288" s="53"/>
      <c r="C288" s="53"/>
      <c r="D288" s="53"/>
      <c r="E288" s="105" t="s">
        <v>16</v>
      </c>
      <c r="F288" s="85" t="s">
        <v>304</v>
      </c>
      <c r="G288" s="85" t="s">
        <v>304</v>
      </c>
      <c r="H288" s="85" t="s">
        <v>304</v>
      </c>
      <c r="I288" s="85"/>
      <c r="J288" s="57"/>
      <c r="K288" s="57"/>
      <c r="M288" s="19"/>
      <c r="T288" s="20"/>
    </row>
    <row r="289" spans="1:20" s="18" customFormat="1" ht="12.75" customHeight="1" x14ac:dyDescent="0.2">
      <c r="A289" s="53"/>
      <c r="B289" s="53"/>
      <c r="C289" s="53"/>
      <c r="D289" s="53"/>
      <c r="E289" s="66" t="s">
        <v>15</v>
      </c>
      <c r="F289" s="85" t="s">
        <v>302</v>
      </c>
      <c r="G289" s="85" t="s">
        <v>302</v>
      </c>
      <c r="H289" s="85" t="s">
        <v>302</v>
      </c>
      <c r="I289" s="85"/>
      <c r="J289" s="57"/>
      <c r="K289" s="58"/>
      <c r="M289" s="19"/>
      <c r="T289" s="20"/>
    </row>
    <row r="290" spans="1:20" s="18" customFormat="1" ht="12.75" customHeight="1" x14ac:dyDescent="0.2">
      <c r="A290" s="53"/>
      <c r="B290" s="53"/>
      <c r="C290" s="53"/>
      <c r="D290" s="53"/>
      <c r="E290" s="66" t="s">
        <v>14</v>
      </c>
      <c r="F290" s="85" t="s">
        <v>302</v>
      </c>
      <c r="G290" s="85" t="s">
        <v>302</v>
      </c>
      <c r="H290" s="85" t="s">
        <v>302</v>
      </c>
      <c r="I290" s="85"/>
      <c r="J290" s="57"/>
      <c r="K290" s="58"/>
      <c r="M290" s="19"/>
      <c r="T290" s="20"/>
    </row>
    <row r="291" spans="1:20" s="18" customFormat="1" ht="12.75" customHeight="1" x14ac:dyDescent="0.2">
      <c r="A291" s="53"/>
      <c r="B291" s="53"/>
      <c r="C291" s="53"/>
      <c r="D291" s="53"/>
      <c r="E291" s="66" t="s">
        <v>13</v>
      </c>
      <c r="F291" s="85" t="s">
        <v>302</v>
      </c>
      <c r="G291" s="85" t="s">
        <v>302</v>
      </c>
      <c r="H291" s="85" t="s">
        <v>302</v>
      </c>
      <c r="I291" s="85"/>
      <c r="J291" s="57"/>
      <c r="K291" s="58"/>
      <c r="M291" s="19"/>
      <c r="T291" s="20"/>
    </row>
    <row r="292" spans="1:20" s="18" customFormat="1" ht="12.75" customHeight="1" x14ac:dyDescent="0.2">
      <c r="A292" s="53"/>
      <c r="B292" s="53"/>
      <c r="C292" s="53"/>
      <c r="D292" s="53"/>
      <c r="E292" s="66" t="s">
        <v>12</v>
      </c>
      <c r="F292" s="85" t="s">
        <v>302</v>
      </c>
      <c r="G292" s="85" t="s">
        <v>302</v>
      </c>
      <c r="H292" s="85" t="s">
        <v>302</v>
      </c>
      <c r="I292" s="85"/>
      <c r="J292" s="57"/>
      <c r="K292" s="58"/>
      <c r="M292" s="19"/>
      <c r="T292" s="20"/>
    </row>
    <row r="293" spans="1:20" s="18" customFormat="1" ht="12.75" customHeight="1" x14ac:dyDescent="0.2">
      <c r="A293" s="53"/>
      <c r="B293" s="53"/>
      <c r="C293" s="53"/>
      <c r="D293" s="53"/>
      <c r="E293" s="66" t="s">
        <v>11</v>
      </c>
      <c r="F293" s="85" t="s">
        <v>302</v>
      </c>
      <c r="G293" s="85" t="s">
        <v>302</v>
      </c>
      <c r="H293" s="85" t="s">
        <v>302</v>
      </c>
      <c r="I293" s="85"/>
      <c r="J293" s="57"/>
      <c r="K293" s="58"/>
      <c r="M293" s="19"/>
      <c r="T293" s="20"/>
    </row>
    <row r="294" spans="1:20" s="18" customFormat="1" ht="12.75" customHeight="1" thickBot="1" x14ac:dyDescent="0.25">
      <c r="A294" s="53"/>
      <c r="B294" s="53"/>
      <c r="C294" s="53"/>
      <c r="D294" s="53"/>
      <c r="E294" s="60" t="s">
        <v>10</v>
      </c>
      <c r="F294" s="92" t="s">
        <v>302</v>
      </c>
      <c r="G294" s="92" t="s">
        <v>302</v>
      </c>
      <c r="H294" s="92" t="s">
        <v>302</v>
      </c>
      <c r="I294" s="85"/>
      <c r="J294" s="57"/>
      <c r="K294" s="58"/>
      <c r="M294" s="19"/>
      <c r="T294" s="20"/>
    </row>
    <row r="295" spans="1:20" s="18" customFormat="1" ht="12.75" customHeight="1" x14ac:dyDescent="0.2">
      <c r="A295" s="53">
        <v>170</v>
      </c>
      <c r="B295" s="53" t="s">
        <v>232</v>
      </c>
      <c r="C295" s="53" t="s">
        <v>302</v>
      </c>
      <c r="D295" s="53"/>
      <c r="E295" s="67" t="s">
        <v>6</v>
      </c>
      <c r="F295" s="91" t="s">
        <v>302</v>
      </c>
      <c r="G295" s="91" t="s">
        <v>302</v>
      </c>
      <c r="H295" s="85" t="s">
        <v>353</v>
      </c>
      <c r="I295" s="85" t="s">
        <v>306</v>
      </c>
      <c r="J295" s="57"/>
      <c r="K295" s="58"/>
      <c r="M295" s="19"/>
      <c r="T295" s="20"/>
    </row>
    <row r="296" spans="1:20" s="18" customFormat="1" ht="12.75" customHeight="1" x14ac:dyDescent="0.2">
      <c r="A296" s="53"/>
      <c r="B296" s="53"/>
      <c r="C296" s="53"/>
      <c r="D296" s="53"/>
      <c r="E296" s="66" t="s">
        <v>5</v>
      </c>
      <c r="F296" s="85" t="s">
        <v>302</v>
      </c>
      <c r="G296" s="85" t="s">
        <v>302</v>
      </c>
      <c r="H296" s="85" t="s">
        <v>302</v>
      </c>
      <c r="I296" s="85"/>
      <c r="J296" s="57"/>
      <c r="K296" s="58"/>
      <c r="M296" s="19"/>
      <c r="T296" s="20"/>
    </row>
    <row r="297" spans="1:20" s="18" customFormat="1" ht="12.75" customHeight="1" x14ac:dyDescent="0.2">
      <c r="A297" s="53"/>
      <c r="B297" s="53"/>
      <c r="C297" s="53"/>
      <c r="D297" s="53"/>
      <c r="E297" s="66" t="s">
        <v>9</v>
      </c>
      <c r="F297" s="85" t="s">
        <v>304</v>
      </c>
      <c r="G297" s="85" t="s">
        <v>302</v>
      </c>
      <c r="H297" s="85" t="s">
        <v>302</v>
      </c>
      <c r="I297" s="85"/>
      <c r="J297" s="57"/>
      <c r="K297" s="58"/>
      <c r="M297" s="19"/>
      <c r="T297" s="20"/>
    </row>
    <row r="298" spans="1:20" s="18" customFormat="1" ht="12.75" customHeight="1" thickBot="1" x14ac:dyDescent="0.25">
      <c r="A298" s="53"/>
      <c r="B298" s="53"/>
      <c r="C298" s="53"/>
      <c r="D298" s="53"/>
      <c r="E298" s="60" t="s">
        <v>8</v>
      </c>
      <c r="F298" s="92" t="s">
        <v>304</v>
      </c>
      <c r="G298" s="92" t="s">
        <v>302</v>
      </c>
      <c r="H298" s="92" t="s">
        <v>302</v>
      </c>
      <c r="I298" s="85"/>
      <c r="J298" s="57"/>
      <c r="K298" s="58"/>
      <c r="M298" s="19"/>
      <c r="T298" s="20"/>
    </row>
    <row r="299" spans="1:20" s="18" customFormat="1" ht="12.75" customHeight="1" x14ac:dyDescent="0.2">
      <c r="A299" s="53">
        <v>180</v>
      </c>
      <c r="B299" s="53" t="s">
        <v>7</v>
      </c>
      <c r="C299" s="53" t="s">
        <v>302</v>
      </c>
      <c r="D299" s="53"/>
      <c r="E299" s="67" t="s">
        <v>3</v>
      </c>
      <c r="F299" s="91" t="s">
        <v>304</v>
      </c>
      <c r="G299" s="91" t="s">
        <v>302</v>
      </c>
      <c r="H299" s="91" t="s">
        <v>302</v>
      </c>
      <c r="I299" s="85"/>
      <c r="J299" s="57"/>
      <c r="K299" s="58"/>
      <c r="M299" s="19"/>
      <c r="T299" s="20"/>
    </row>
    <row r="300" spans="1:20" s="18" customFormat="1" ht="12.75" customHeight="1" x14ac:dyDescent="0.2">
      <c r="A300" s="53"/>
      <c r="B300" s="53"/>
      <c r="C300" s="53"/>
      <c r="D300" s="53"/>
      <c r="E300" s="107" t="s">
        <v>26</v>
      </c>
      <c r="F300" s="85" t="s">
        <v>302</v>
      </c>
      <c r="G300" s="85" t="s">
        <v>302</v>
      </c>
      <c r="H300" s="85" t="s">
        <v>302</v>
      </c>
      <c r="I300" s="85"/>
      <c r="J300" s="57"/>
      <c r="K300" s="58"/>
      <c r="M300" s="19"/>
      <c r="T300" s="20"/>
    </row>
    <row r="301" spans="1:20" s="18" customFormat="1" ht="12.75" customHeight="1" x14ac:dyDescent="0.2">
      <c r="A301" s="53"/>
      <c r="B301" s="53"/>
      <c r="C301" s="53"/>
      <c r="D301" s="53"/>
      <c r="E301" s="66" t="s">
        <v>2</v>
      </c>
      <c r="F301" s="85" t="s">
        <v>304</v>
      </c>
      <c r="G301" s="85" t="s">
        <v>353</v>
      </c>
      <c r="H301" s="85" t="s">
        <v>353</v>
      </c>
      <c r="I301" s="85" t="s">
        <v>328</v>
      </c>
      <c r="J301" s="57"/>
      <c r="K301" s="58"/>
      <c r="M301" s="19"/>
      <c r="T301" s="20"/>
    </row>
    <row r="302" spans="1:20" s="18" customFormat="1" ht="12.75" customHeight="1" x14ac:dyDescent="0.2">
      <c r="A302" s="53"/>
      <c r="B302" s="53"/>
      <c r="C302" s="53"/>
      <c r="D302" s="53"/>
      <c r="E302" s="66" t="s">
        <v>6</v>
      </c>
      <c r="F302" s="85" t="s">
        <v>302</v>
      </c>
      <c r="G302" s="85" t="s">
        <v>302</v>
      </c>
      <c r="H302" s="85" t="s">
        <v>353</v>
      </c>
      <c r="I302" s="85" t="s">
        <v>306</v>
      </c>
      <c r="J302" s="57"/>
      <c r="K302" s="58"/>
      <c r="M302" s="19"/>
      <c r="T302" s="20"/>
    </row>
    <row r="303" spans="1:20" s="18" customFormat="1" ht="12.75" customHeight="1" thickBot="1" x14ac:dyDescent="0.25">
      <c r="A303" s="53"/>
      <c r="B303" s="53"/>
      <c r="C303" s="53"/>
      <c r="D303" s="53"/>
      <c r="E303" s="60" t="s">
        <v>5</v>
      </c>
      <c r="F303" s="92" t="s">
        <v>302</v>
      </c>
      <c r="G303" s="92" t="s">
        <v>302</v>
      </c>
      <c r="H303" s="92" t="s">
        <v>302</v>
      </c>
      <c r="I303" s="85"/>
      <c r="J303" s="57"/>
      <c r="K303" s="58"/>
      <c r="M303" s="19"/>
      <c r="T303" s="20"/>
    </row>
    <row r="304" spans="1:20" s="18" customFormat="1" ht="12.75" customHeight="1" x14ac:dyDescent="0.2">
      <c r="A304" s="53">
        <v>190</v>
      </c>
      <c r="B304" s="53" t="s">
        <v>4</v>
      </c>
      <c r="C304" s="53" t="s">
        <v>302</v>
      </c>
      <c r="D304" s="53"/>
      <c r="E304" s="67" t="s">
        <v>3</v>
      </c>
      <c r="F304" s="91" t="s">
        <v>304</v>
      </c>
      <c r="G304" s="91" t="s">
        <v>302</v>
      </c>
      <c r="H304" s="91" t="s">
        <v>302</v>
      </c>
      <c r="I304" s="85"/>
      <c r="J304" s="57"/>
      <c r="K304" s="58"/>
      <c r="M304" s="19"/>
      <c r="T304" s="20"/>
    </row>
    <row r="305" spans="1:20" s="18" customFormat="1" ht="12.75" customHeight="1" x14ac:dyDescent="0.2">
      <c r="A305" s="53"/>
      <c r="B305" s="53"/>
      <c r="C305" s="53"/>
      <c r="D305" s="53"/>
      <c r="E305" s="107" t="s">
        <v>26</v>
      </c>
      <c r="F305" s="85" t="s">
        <v>302</v>
      </c>
      <c r="G305" s="85" t="s">
        <v>302</v>
      </c>
      <c r="H305" s="85" t="s">
        <v>302</v>
      </c>
      <c r="I305" s="85"/>
      <c r="J305" s="57"/>
      <c r="K305" s="58"/>
      <c r="M305" s="19"/>
      <c r="T305" s="20"/>
    </row>
    <row r="306" spans="1:20" s="18" customFormat="1" ht="12.75" customHeight="1" x14ac:dyDescent="0.2">
      <c r="A306" s="53"/>
      <c r="B306" s="53"/>
      <c r="C306" s="53"/>
      <c r="D306" s="53"/>
      <c r="E306" s="66" t="s">
        <v>2</v>
      </c>
      <c r="F306" s="85" t="s">
        <v>304</v>
      </c>
      <c r="G306" s="85" t="s">
        <v>353</v>
      </c>
      <c r="H306" s="85" t="s">
        <v>353</v>
      </c>
      <c r="I306" s="85" t="s">
        <v>328</v>
      </c>
      <c r="J306" s="57"/>
      <c r="K306" s="58"/>
      <c r="M306" s="19"/>
      <c r="T306" s="20"/>
    </row>
    <row r="307" spans="1:20" s="18" customFormat="1" ht="12.75" customHeight="1" x14ac:dyDescent="0.2">
      <c r="A307" s="53"/>
      <c r="B307" s="53"/>
      <c r="C307" s="53"/>
      <c r="D307" s="53"/>
      <c r="E307" s="107" t="s">
        <v>1</v>
      </c>
      <c r="F307" s="85" t="s">
        <v>302</v>
      </c>
      <c r="G307" s="85" t="s">
        <v>302</v>
      </c>
      <c r="H307" s="85" t="s">
        <v>302</v>
      </c>
      <c r="I307" s="85"/>
      <c r="J307" s="57"/>
      <c r="K307" s="58"/>
      <c r="M307" s="19"/>
      <c r="T307" s="20"/>
    </row>
    <row r="308" spans="1:20" s="18" customFormat="1" ht="12.75" customHeight="1" thickBot="1" x14ac:dyDescent="0.25">
      <c r="A308" s="53"/>
      <c r="B308" s="53"/>
      <c r="C308" s="53"/>
      <c r="D308" s="53"/>
      <c r="E308" s="60" t="s">
        <v>0</v>
      </c>
      <c r="F308" s="92" t="s">
        <v>302</v>
      </c>
      <c r="G308" s="85" t="s">
        <v>365</v>
      </c>
      <c r="H308" s="85" t="s">
        <v>365</v>
      </c>
      <c r="I308" s="85" t="s">
        <v>316</v>
      </c>
      <c r="J308" s="57"/>
      <c r="K308" s="58"/>
      <c r="M308" s="19"/>
      <c r="T308" s="20"/>
    </row>
    <row r="309" spans="1:20" s="18" customFormat="1" ht="12.75" customHeight="1" x14ac:dyDescent="0.2">
      <c r="A309" s="53">
        <v>200</v>
      </c>
      <c r="B309" s="53" t="s">
        <v>242</v>
      </c>
      <c r="C309" s="53" t="s">
        <v>302</v>
      </c>
      <c r="D309" s="53"/>
      <c r="E309" s="66" t="s">
        <v>244</v>
      </c>
      <c r="F309" s="91"/>
      <c r="G309" s="91"/>
      <c r="H309" s="91"/>
      <c r="I309" s="85"/>
      <c r="J309" s="57"/>
      <c r="K309" s="58"/>
      <c r="M309" s="19"/>
      <c r="T309" s="20"/>
    </row>
    <row r="310" spans="1:20" s="18" customFormat="1" ht="12.75" customHeight="1" x14ac:dyDescent="0.2">
      <c r="A310" s="53"/>
      <c r="B310" s="53"/>
      <c r="C310" s="53"/>
      <c r="D310" s="53"/>
      <c r="E310" s="66" t="s">
        <v>245</v>
      </c>
      <c r="F310" s="85"/>
      <c r="G310" s="85"/>
      <c r="H310" s="85"/>
      <c r="I310" s="85"/>
      <c r="J310" s="57"/>
      <c r="K310" s="58"/>
      <c r="M310" s="19"/>
      <c r="T310" s="20"/>
    </row>
    <row r="311" spans="1:20" s="18" customFormat="1" ht="12.75" customHeight="1" x14ac:dyDescent="0.2">
      <c r="A311" s="53"/>
      <c r="B311" s="53"/>
      <c r="C311" s="53"/>
      <c r="D311" s="53"/>
      <c r="E311" s="66" t="s">
        <v>246</v>
      </c>
      <c r="F311" s="85"/>
      <c r="G311" s="85"/>
      <c r="H311" s="85"/>
      <c r="I311" s="85"/>
      <c r="J311" s="57"/>
      <c r="K311" s="58"/>
      <c r="M311" s="19"/>
      <c r="T311" s="20"/>
    </row>
    <row r="312" spans="1:20" s="18" customFormat="1" ht="12.75" customHeight="1" x14ac:dyDescent="0.2">
      <c r="A312" s="53"/>
      <c r="B312" s="53"/>
      <c r="C312" s="53"/>
      <c r="D312" s="53"/>
      <c r="E312" s="66" t="s">
        <v>247</v>
      </c>
      <c r="F312" s="85"/>
      <c r="G312" s="85"/>
      <c r="H312" s="85"/>
      <c r="I312" s="85"/>
      <c r="J312" s="57"/>
      <c r="K312" s="58"/>
      <c r="M312" s="19"/>
      <c r="T312" s="20"/>
    </row>
    <row r="313" spans="1:20" s="18" customFormat="1" ht="12.75" customHeight="1" x14ac:dyDescent="0.2">
      <c r="A313" s="53"/>
      <c r="B313" s="53"/>
      <c r="C313" s="53"/>
      <c r="D313" s="53"/>
      <c r="E313" s="66" t="s">
        <v>248</v>
      </c>
      <c r="F313" s="85"/>
      <c r="G313" s="85"/>
      <c r="H313" s="85"/>
      <c r="I313" s="85"/>
      <c r="J313" s="57"/>
      <c r="K313" s="58"/>
      <c r="M313" s="19"/>
      <c r="T313" s="20"/>
    </row>
    <row r="314" spans="1:20" s="18" customFormat="1" ht="12.75" customHeight="1" x14ac:dyDescent="0.2">
      <c r="A314" s="53"/>
      <c r="B314" s="53"/>
      <c r="C314" s="53"/>
      <c r="D314" s="53"/>
      <c r="E314" s="66" t="s">
        <v>249</v>
      </c>
      <c r="F314" s="85"/>
      <c r="G314" s="85"/>
      <c r="H314" s="85"/>
      <c r="I314" s="85"/>
      <c r="J314" s="57"/>
      <c r="K314" s="58"/>
      <c r="M314" s="19"/>
      <c r="T314" s="20"/>
    </row>
    <row r="315" spans="1:20" s="18" customFormat="1" ht="12.75" customHeight="1" x14ac:dyDescent="0.2">
      <c r="A315" s="53"/>
      <c r="B315" s="53"/>
      <c r="C315" s="53"/>
      <c r="D315" s="53"/>
      <c r="E315" s="66" t="s">
        <v>250</v>
      </c>
      <c r="F315" s="85"/>
      <c r="G315" s="85"/>
      <c r="H315" s="85"/>
      <c r="I315" s="85"/>
      <c r="J315" s="57"/>
      <c r="K315" s="58"/>
      <c r="M315" s="19"/>
      <c r="T315" s="20"/>
    </row>
    <row r="316" spans="1:20" s="18" customFormat="1" ht="12.75" customHeight="1" x14ac:dyDescent="0.2">
      <c r="A316" s="53"/>
      <c r="B316" s="53"/>
      <c r="C316" s="53"/>
      <c r="D316" s="53"/>
      <c r="E316" s="111" t="s">
        <v>251</v>
      </c>
      <c r="F316" s="85"/>
      <c r="G316" s="85"/>
      <c r="H316" s="85"/>
      <c r="I316" s="85"/>
      <c r="J316" s="57"/>
      <c r="K316" s="58"/>
      <c r="M316" s="19"/>
      <c r="T316" s="20"/>
    </row>
    <row r="317" spans="1:20" s="18" customFormat="1" ht="12.75" customHeight="1" x14ac:dyDescent="0.2">
      <c r="A317" s="53"/>
      <c r="B317" s="53"/>
      <c r="C317" s="53"/>
      <c r="D317" s="53"/>
      <c r="E317" s="66" t="s">
        <v>141</v>
      </c>
      <c r="F317" s="85"/>
      <c r="G317" s="85"/>
      <c r="H317" s="85"/>
      <c r="I317" s="85"/>
      <c r="J317" s="57"/>
      <c r="K317" s="58"/>
      <c r="M317" s="19"/>
      <c r="T317" s="20"/>
    </row>
    <row r="318" spans="1:20" s="18" customFormat="1" ht="12.75" customHeight="1" x14ac:dyDescent="0.2">
      <c r="A318" s="53"/>
      <c r="B318" s="53"/>
      <c r="C318" s="53"/>
      <c r="D318" s="53"/>
      <c r="E318" s="66" t="s">
        <v>252</v>
      </c>
      <c r="F318" s="85"/>
      <c r="G318" s="85"/>
      <c r="H318" s="85"/>
      <c r="I318" s="85"/>
      <c r="J318" s="57"/>
      <c r="K318" s="58"/>
      <c r="M318" s="19"/>
      <c r="T318" s="20"/>
    </row>
    <row r="319" spans="1:20" s="18" customFormat="1" ht="12.75" customHeight="1" x14ac:dyDescent="0.2">
      <c r="A319" s="53"/>
      <c r="B319" s="53"/>
      <c r="C319" s="53"/>
      <c r="D319" s="53"/>
      <c r="E319" s="66" t="s">
        <v>253</v>
      </c>
      <c r="F319" s="85"/>
      <c r="G319" s="85"/>
      <c r="H319" s="85"/>
      <c r="I319" s="85"/>
      <c r="J319" s="57"/>
      <c r="K319" s="58"/>
      <c r="M319" s="19"/>
      <c r="T319" s="20"/>
    </row>
    <row r="320" spans="1:20" s="18" customFormat="1" ht="12.75" customHeight="1" x14ac:dyDescent="0.2">
      <c r="A320" s="53"/>
      <c r="B320" s="53"/>
      <c r="C320" s="53"/>
      <c r="D320" s="53"/>
      <c r="E320" s="66" t="s">
        <v>254</v>
      </c>
      <c r="F320" s="85"/>
      <c r="G320" s="85"/>
      <c r="H320" s="85"/>
      <c r="I320" s="85"/>
      <c r="J320" s="57"/>
      <c r="K320" s="58"/>
      <c r="M320" s="19"/>
      <c r="T320" s="20"/>
    </row>
    <row r="321" spans="1:20" s="18" customFormat="1" ht="12.75" customHeight="1" x14ac:dyDescent="0.2">
      <c r="A321" s="53"/>
      <c r="B321" s="53"/>
      <c r="C321" s="53"/>
      <c r="D321" s="53"/>
      <c r="E321" s="66" t="s">
        <v>137</v>
      </c>
      <c r="F321" s="85"/>
      <c r="G321" s="85"/>
      <c r="H321" s="85"/>
      <c r="I321" s="85"/>
      <c r="J321" s="57"/>
      <c r="K321" s="58"/>
      <c r="M321" s="19"/>
      <c r="T321" s="20"/>
    </row>
    <row r="322" spans="1:20" s="18" customFormat="1" ht="12.75" customHeight="1" x14ac:dyDescent="0.2">
      <c r="A322" s="53"/>
      <c r="B322" s="53"/>
      <c r="C322" s="53"/>
      <c r="D322" s="53"/>
      <c r="E322" s="66" t="s">
        <v>136</v>
      </c>
      <c r="F322" s="85"/>
      <c r="G322" s="85"/>
      <c r="H322" s="85"/>
      <c r="I322" s="85"/>
      <c r="J322" s="57"/>
      <c r="K322" s="58"/>
      <c r="M322" s="19"/>
      <c r="T322" s="20"/>
    </row>
    <row r="323" spans="1:20" s="18" customFormat="1" ht="12.75" customHeight="1" x14ac:dyDescent="0.2">
      <c r="A323" s="53"/>
      <c r="B323" s="53"/>
      <c r="C323" s="53"/>
      <c r="D323" s="53"/>
      <c r="E323" s="66" t="s">
        <v>255</v>
      </c>
      <c r="F323" s="85"/>
      <c r="G323" s="85"/>
      <c r="H323" s="85"/>
      <c r="I323" s="85"/>
      <c r="J323" s="57"/>
      <c r="K323" s="58"/>
      <c r="M323" s="19"/>
      <c r="T323" s="20"/>
    </row>
    <row r="324" spans="1:20" s="18" customFormat="1" ht="12.75" customHeight="1" x14ac:dyDescent="0.2">
      <c r="A324" s="53"/>
      <c r="B324" s="53"/>
      <c r="C324" s="53"/>
      <c r="D324" s="53"/>
      <c r="E324" s="66" t="s">
        <v>256</v>
      </c>
      <c r="F324" s="85"/>
      <c r="G324" s="85"/>
      <c r="H324" s="85"/>
      <c r="I324" s="85"/>
      <c r="J324" s="57"/>
      <c r="K324" s="58"/>
      <c r="M324" s="19"/>
      <c r="T324" s="20"/>
    </row>
    <row r="325" spans="1:20" s="18" customFormat="1" ht="12.75" customHeight="1" x14ac:dyDescent="0.2">
      <c r="A325" s="53"/>
      <c r="B325" s="53"/>
      <c r="C325" s="53"/>
      <c r="D325" s="53"/>
      <c r="E325" s="66" t="s">
        <v>257</v>
      </c>
      <c r="F325" s="85"/>
      <c r="G325" s="85"/>
      <c r="H325" s="85"/>
      <c r="I325" s="85"/>
      <c r="J325" s="57"/>
      <c r="K325" s="58"/>
      <c r="M325" s="19"/>
      <c r="T325" s="20"/>
    </row>
    <row r="326" spans="1:20" s="18" customFormat="1" ht="12.75" customHeight="1" x14ac:dyDescent="0.2">
      <c r="A326" s="53"/>
      <c r="B326" s="53"/>
      <c r="C326" s="53"/>
      <c r="D326" s="53"/>
      <c r="E326" s="66" t="s">
        <v>258</v>
      </c>
      <c r="F326" s="85"/>
      <c r="G326" s="85"/>
      <c r="H326" s="85"/>
      <c r="I326" s="85"/>
      <c r="J326" s="57"/>
      <c r="K326" s="58"/>
      <c r="M326" s="19"/>
      <c r="T326" s="20"/>
    </row>
    <row r="327" spans="1:20" s="18" customFormat="1" ht="12.75" customHeight="1" x14ac:dyDescent="0.2">
      <c r="A327" s="53"/>
      <c r="B327" s="53"/>
      <c r="C327" s="53"/>
      <c r="D327" s="53"/>
      <c r="E327" s="66" t="s">
        <v>259</v>
      </c>
      <c r="F327" s="85"/>
      <c r="G327" s="85"/>
      <c r="H327" s="85"/>
      <c r="I327" s="85"/>
      <c r="J327" s="57"/>
      <c r="K327" s="58"/>
      <c r="M327" s="19"/>
      <c r="T327" s="20"/>
    </row>
    <row r="328" spans="1:20" s="18" customFormat="1" ht="12.75" customHeight="1" x14ac:dyDescent="0.2">
      <c r="A328" s="53"/>
      <c r="B328" s="53"/>
      <c r="C328" s="53"/>
      <c r="D328" s="53"/>
      <c r="E328" s="66" t="s">
        <v>260</v>
      </c>
      <c r="F328" s="85"/>
      <c r="G328" s="85"/>
      <c r="H328" s="85"/>
      <c r="I328" s="85"/>
      <c r="J328" s="57"/>
      <c r="K328" s="58"/>
      <c r="M328" s="19"/>
      <c r="T328" s="20"/>
    </row>
    <row r="329" spans="1:20" s="18" customFormat="1" ht="12.75" customHeight="1" x14ac:dyDescent="0.2">
      <c r="A329" s="53"/>
      <c r="B329" s="53"/>
      <c r="C329" s="53"/>
      <c r="D329" s="53"/>
      <c r="E329" s="66" t="s">
        <v>261</v>
      </c>
      <c r="F329" s="85"/>
      <c r="G329" s="85"/>
      <c r="H329" s="85"/>
      <c r="I329" s="85"/>
      <c r="J329" s="57"/>
      <c r="K329" s="58"/>
      <c r="M329" s="19"/>
      <c r="T329" s="20"/>
    </row>
    <row r="330" spans="1:20" s="18" customFormat="1" ht="12.75" customHeight="1" x14ac:dyDescent="0.2">
      <c r="A330" s="53"/>
      <c r="B330" s="53"/>
      <c r="C330" s="53"/>
      <c r="D330" s="53"/>
      <c r="E330" s="66" t="s">
        <v>262</v>
      </c>
      <c r="F330" s="85"/>
      <c r="G330" s="85"/>
      <c r="H330" s="85"/>
      <c r="I330" s="85"/>
      <c r="J330" s="57"/>
      <c r="K330" s="58"/>
      <c r="M330" s="19"/>
      <c r="T330" s="20"/>
    </row>
    <row r="331" spans="1:20" s="18" customFormat="1" ht="12.75" customHeight="1" x14ac:dyDescent="0.2">
      <c r="A331" s="53"/>
      <c r="B331" s="53"/>
      <c r="C331" s="53"/>
      <c r="D331" s="53"/>
      <c r="E331" s="66" t="s">
        <v>263</v>
      </c>
      <c r="F331" s="85"/>
      <c r="G331" s="85"/>
      <c r="H331" s="85"/>
      <c r="I331" s="85"/>
      <c r="J331" s="57"/>
      <c r="K331" s="58"/>
      <c r="M331" s="19"/>
      <c r="T331" s="20"/>
    </row>
    <row r="332" spans="1:20" s="18" customFormat="1" ht="12.75" customHeight="1" x14ac:dyDescent="0.2">
      <c r="A332" s="53"/>
      <c r="B332" s="53"/>
      <c r="C332" s="53"/>
      <c r="D332" s="53"/>
      <c r="E332" s="66" t="s">
        <v>264</v>
      </c>
      <c r="F332" s="85"/>
      <c r="G332" s="85"/>
      <c r="H332" s="85"/>
      <c r="I332" s="85"/>
      <c r="J332" s="57"/>
      <c r="K332" s="58"/>
      <c r="M332" s="19"/>
      <c r="T332" s="20"/>
    </row>
    <row r="333" spans="1:20" s="18" customFormat="1" ht="12.75" customHeight="1" x14ac:dyDescent="0.2">
      <c r="A333" s="53"/>
      <c r="B333" s="53"/>
      <c r="C333" s="53"/>
      <c r="D333" s="53"/>
      <c r="E333" s="66" t="s">
        <v>265</v>
      </c>
      <c r="F333" s="85"/>
      <c r="G333" s="85"/>
      <c r="H333" s="85"/>
      <c r="I333" s="85"/>
      <c r="J333" s="57"/>
      <c r="K333" s="58"/>
      <c r="M333" s="19"/>
      <c r="T333" s="20"/>
    </row>
    <row r="334" spans="1:20" s="18" customFormat="1" ht="12.75" customHeight="1" thickBot="1" x14ac:dyDescent="0.25">
      <c r="A334" s="53"/>
      <c r="B334" s="53"/>
      <c r="C334" s="53"/>
      <c r="D334" s="53"/>
      <c r="E334" s="60" t="s">
        <v>266</v>
      </c>
      <c r="F334" s="92"/>
      <c r="G334" s="92"/>
      <c r="H334" s="92"/>
      <c r="I334" s="85"/>
      <c r="J334" s="57"/>
      <c r="K334" s="58"/>
      <c r="M334" s="19"/>
      <c r="T334" s="20"/>
    </row>
    <row r="335" spans="1:20" s="18" customFormat="1" ht="25.5" customHeight="1" x14ac:dyDescent="0.2">
      <c r="A335" s="53">
        <v>210</v>
      </c>
      <c r="B335" s="53" t="s">
        <v>243</v>
      </c>
      <c r="C335" s="53" t="s">
        <v>302</v>
      </c>
      <c r="D335" s="93"/>
      <c r="E335" s="112" t="s">
        <v>401</v>
      </c>
      <c r="F335" s="113"/>
      <c r="G335" s="91"/>
      <c r="H335" s="91"/>
      <c r="I335" s="85"/>
      <c r="J335" s="57"/>
      <c r="K335" s="58"/>
      <c r="M335" s="19"/>
      <c r="T335" s="20"/>
    </row>
    <row r="336" spans="1:20" s="18" customFormat="1" x14ac:dyDescent="0.2">
      <c r="A336" s="53"/>
      <c r="B336" s="53"/>
      <c r="C336" s="53"/>
      <c r="D336" s="93"/>
      <c r="E336" s="114" t="s">
        <v>402</v>
      </c>
      <c r="F336" s="115"/>
      <c r="G336" s="85"/>
      <c r="H336" s="85"/>
      <c r="I336" s="85"/>
      <c r="J336" s="57"/>
      <c r="K336" s="58"/>
      <c r="M336" s="19"/>
      <c r="T336" s="20"/>
    </row>
    <row r="337" spans="1:20" s="18" customFormat="1" x14ac:dyDescent="0.2">
      <c r="A337" s="53"/>
      <c r="B337" s="53"/>
      <c r="C337" s="53"/>
      <c r="D337" s="93"/>
      <c r="E337" s="114" t="s">
        <v>403</v>
      </c>
      <c r="F337" s="115"/>
      <c r="G337" s="85"/>
      <c r="H337" s="85"/>
      <c r="I337" s="85"/>
      <c r="J337" s="57"/>
      <c r="K337" s="58"/>
      <c r="M337" s="19"/>
      <c r="T337" s="20"/>
    </row>
    <row r="338" spans="1:20" s="18" customFormat="1" x14ac:dyDescent="0.2">
      <c r="A338" s="53"/>
      <c r="B338" s="53"/>
      <c r="C338" s="53"/>
      <c r="D338" s="93"/>
      <c r="E338" s="114" t="s">
        <v>404</v>
      </c>
      <c r="F338" s="115"/>
      <c r="G338" s="85"/>
      <c r="H338" s="85"/>
      <c r="I338" s="85"/>
      <c r="J338" s="57"/>
      <c r="K338" s="58"/>
      <c r="M338" s="19"/>
      <c r="T338" s="20"/>
    </row>
    <row r="339" spans="1:20" s="18" customFormat="1" x14ac:dyDescent="0.2">
      <c r="A339" s="53"/>
      <c r="B339" s="53"/>
      <c r="C339" s="53"/>
      <c r="D339" s="93"/>
      <c r="E339" s="114" t="s">
        <v>406</v>
      </c>
      <c r="F339" s="115"/>
      <c r="G339" s="85"/>
      <c r="H339" s="85"/>
      <c r="I339" s="85"/>
      <c r="J339" s="57"/>
      <c r="K339" s="58"/>
      <c r="M339" s="19"/>
      <c r="T339" s="20"/>
    </row>
    <row r="340" spans="1:20" s="18" customFormat="1" ht="13.5" thickBot="1" x14ac:dyDescent="0.25">
      <c r="A340" s="53"/>
      <c r="B340" s="53"/>
      <c r="C340" s="53"/>
      <c r="D340" s="93"/>
      <c r="E340" s="116" t="s">
        <v>405</v>
      </c>
      <c r="F340" s="92"/>
      <c r="G340" s="92"/>
      <c r="H340" s="92"/>
      <c r="I340" s="85"/>
      <c r="J340" s="57"/>
      <c r="K340" s="58"/>
      <c r="M340" s="19"/>
      <c r="T340" s="20"/>
    </row>
    <row r="341" spans="1:20" s="18" customFormat="1" ht="38.25" x14ac:dyDescent="0.2">
      <c r="A341" s="53"/>
      <c r="B341" s="53"/>
      <c r="C341" s="53"/>
      <c r="D341" s="93"/>
      <c r="E341" s="112" t="s">
        <v>407</v>
      </c>
      <c r="F341" s="115"/>
      <c r="G341" s="85"/>
      <c r="H341" s="85"/>
      <c r="I341" s="85"/>
      <c r="J341" s="57"/>
      <c r="K341" s="58"/>
      <c r="M341" s="19"/>
      <c r="T341" s="20"/>
    </row>
    <row r="342" spans="1:20" s="18" customFormat="1" x14ac:dyDescent="0.2">
      <c r="A342" s="53"/>
      <c r="B342" s="53"/>
      <c r="C342" s="53"/>
      <c r="D342" s="93"/>
      <c r="E342" s="114" t="s">
        <v>402</v>
      </c>
      <c r="F342" s="115"/>
      <c r="G342" s="85"/>
      <c r="H342" s="85"/>
      <c r="I342" s="85"/>
      <c r="J342" s="57"/>
      <c r="K342" s="58"/>
      <c r="M342" s="19"/>
      <c r="T342" s="20"/>
    </row>
    <row r="343" spans="1:20" s="18" customFormat="1" x14ac:dyDescent="0.2">
      <c r="A343" s="53"/>
      <c r="B343" s="53"/>
      <c r="C343" s="53"/>
      <c r="D343" s="93"/>
      <c r="E343" s="114" t="s">
        <v>403</v>
      </c>
      <c r="F343" s="115"/>
      <c r="G343" s="85"/>
      <c r="H343" s="85"/>
      <c r="I343" s="85"/>
      <c r="J343" s="57"/>
      <c r="K343" s="58"/>
      <c r="M343" s="19"/>
      <c r="T343" s="20"/>
    </row>
    <row r="344" spans="1:20" s="18" customFormat="1" ht="13.5" thickBot="1" x14ac:dyDescent="0.25">
      <c r="A344" s="53"/>
      <c r="B344" s="53"/>
      <c r="C344" s="53"/>
      <c r="D344" s="93"/>
      <c r="E344" s="117" t="s">
        <v>408</v>
      </c>
      <c r="F344" s="92"/>
      <c r="G344" s="92"/>
      <c r="H344" s="92"/>
      <c r="I344" s="85"/>
      <c r="J344" s="57"/>
      <c r="K344" s="58"/>
      <c r="M344" s="19"/>
      <c r="T344" s="20"/>
    </row>
    <row r="345" spans="1:20" s="18" customFormat="1" ht="38.25" x14ac:dyDescent="0.2">
      <c r="A345" s="53"/>
      <c r="B345" s="53"/>
      <c r="C345" s="53"/>
      <c r="D345" s="93"/>
      <c r="E345" s="112" t="s">
        <v>409</v>
      </c>
      <c r="F345" s="115"/>
      <c r="G345" s="85"/>
      <c r="H345" s="85"/>
      <c r="I345" s="85"/>
      <c r="J345" s="57"/>
      <c r="K345" s="58"/>
      <c r="M345" s="19"/>
      <c r="T345" s="20"/>
    </row>
    <row r="346" spans="1:20" s="18" customFormat="1" x14ac:dyDescent="0.2">
      <c r="A346" s="53"/>
      <c r="B346" s="53"/>
      <c r="C346" s="53"/>
      <c r="D346" s="93"/>
      <c r="E346" s="114" t="s">
        <v>410</v>
      </c>
      <c r="F346" s="115"/>
      <c r="G346" s="85"/>
      <c r="H346" s="85"/>
      <c r="I346" s="85"/>
      <c r="J346" s="57"/>
      <c r="K346" s="58"/>
      <c r="M346" s="19"/>
      <c r="T346" s="20"/>
    </row>
    <row r="347" spans="1:20" s="18" customFormat="1" ht="13.5" thickBot="1" x14ac:dyDescent="0.25">
      <c r="A347" s="53"/>
      <c r="B347" s="53"/>
      <c r="C347" s="53"/>
      <c r="D347" s="93"/>
      <c r="E347" s="116" t="s">
        <v>411</v>
      </c>
      <c r="F347" s="92"/>
      <c r="G347" s="92"/>
      <c r="H347" s="92"/>
      <c r="I347" s="85"/>
      <c r="J347" s="57"/>
      <c r="K347" s="58"/>
      <c r="M347" s="19"/>
      <c r="T347" s="20"/>
    </row>
    <row r="348" spans="1:20" s="18" customFormat="1" ht="38.25" x14ac:dyDescent="0.2">
      <c r="A348" s="53"/>
      <c r="B348" s="53"/>
      <c r="C348" s="53"/>
      <c r="D348" s="53"/>
      <c r="E348" s="112" t="s">
        <v>412</v>
      </c>
      <c r="F348" s="85"/>
      <c r="G348" s="85"/>
      <c r="H348" s="85"/>
      <c r="I348" s="85"/>
      <c r="J348" s="57"/>
      <c r="K348" s="58"/>
      <c r="M348" s="19"/>
      <c r="T348" s="20"/>
    </row>
    <row r="349" spans="1:20" s="18" customFormat="1" x14ac:dyDescent="0.2">
      <c r="A349" s="53"/>
      <c r="B349" s="53"/>
      <c r="C349" s="53"/>
      <c r="D349" s="53"/>
      <c r="E349" s="114" t="s">
        <v>403</v>
      </c>
      <c r="F349" s="85"/>
      <c r="G349" s="85"/>
      <c r="H349" s="85"/>
      <c r="I349" s="85"/>
      <c r="J349" s="57"/>
      <c r="K349" s="58"/>
      <c r="M349" s="19"/>
      <c r="T349" s="20"/>
    </row>
    <row r="350" spans="1:20" s="18" customFormat="1" ht="13.5" thickBot="1" x14ac:dyDescent="0.25">
      <c r="A350" s="53"/>
      <c r="B350" s="53"/>
      <c r="C350" s="53"/>
      <c r="D350" s="53"/>
      <c r="E350" s="116" t="s">
        <v>413</v>
      </c>
      <c r="F350" s="92"/>
      <c r="G350" s="92"/>
      <c r="H350" s="92"/>
      <c r="I350" s="85"/>
      <c r="J350" s="57"/>
      <c r="K350" s="58"/>
      <c r="M350" s="19"/>
      <c r="T350" s="20"/>
    </row>
    <row r="351" spans="1:20" s="18" customFormat="1" ht="51" x14ac:dyDescent="0.2">
      <c r="A351" s="53"/>
      <c r="B351" s="53"/>
      <c r="C351" s="53"/>
      <c r="D351" s="53"/>
      <c r="E351" s="118" t="s">
        <v>414</v>
      </c>
      <c r="F351" s="85"/>
      <c r="G351" s="85"/>
      <c r="H351" s="85"/>
      <c r="I351" s="85"/>
      <c r="J351" s="57"/>
      <c r="K351" s="58"/>
      <c r="M351" s="19"/>
      <c r="T351" s="20"/>
    </row>
    <row r="352" spans="1:20" s="18" customFormat="1" x14ac:dyDescent="0.2">
      <c r="A352" s="53"/>
      <c r="B352" s="53"/>
      <c r="C352" s="53"/>
      <c r="D352" s="53"/>
      <c r="E352" s="119" t="s">
        <v>420</v>
      </c>
      <c r="F352" s="85"/>
      <c r="G352" s="85"/>
      <c r="H352" s="85"/>
      <c r="I352" s="85"/>
      <c r="J352" s="57"/>
      <c r="K352" s="58"/>
      <c r="M352" s="19"/>
      <c r="T352" s="20"/>
    </row>
    <row r="353" spans="1:20" s="18" customFormat="1" x14ac:dyDescent="0.2">
      <c r="A353" s="53"/>
      <c r="B353" s="53"/>
      <c r="C353" s="53"/>
      <c r="D353" s="53"/>
      <c r="E353" s="114" t="s">
        <v>421</v>
      </c>
      <c r="F353" s="85"/>
      <c r="G353" s="85"/>
      <c r="H353" s="85"/>
      <c r="I353" s="85"/>
      <c r="J353" s="57"/>
      <c r="K353" s="58"/>
      <c r="M353" s="19"/>
      <c r="T353" s="20"/>
    </row>
    <row r="354" spans="1:20" s="18" customFormat="1" x14ac:dyDescent="0.2">
      <c r="A354" s="53"/>
      <c r="B354" s="53"/>
      <c r="C354" s="53"/>
      <c r="D354" s="53"/>
      <c r="E354" s="114" t="s">
        <v>422</v>
      </c>
      <c r="F354" s="85"/>
      <c r="G354" s="85"/>
      <c r="H354" s="85"/>
      <c r="I354" s="85"/>
      <c r="J354" s="57"/>
      <c r="K354" s="58"/>
      <c r="M354" s="19"/>
      <c r="T354" s="20"/>
    </row>
    <row r="355" spans="1:20" s="18" customFormat="1" x14ac:dyDescent="0.2">
      <c r="A355" s="53"/>
      <c r="B355" s="53"/>
      <c r="C355" s="53"/>
      <c r="D355" s="53"/>
      <c r="E355" s="114" t="s">
        <v>423</v>
      </c>
      <c r="F355" s="85"/>
      <c r="G355" s="85"/>
      <c r="H355" s="85"/>
      <c r="I355" s="85"/>
      <c r="J355" s="57"/>
      <c r="K355" s="58"/>
      <c r="M355" s="19"/>
      <c r="T355" s="20"/>
    </row>
    <row r="356" spans="1:20" s="18" customFormat="1" x14ac:dyDescent="0.2">
      <c r="A356" s="53"/>
      <c r="B356" s="53"/>
      <c r="C356" s="53"/>
      <c r="D356" s="53"/>
      <c r="E356" s="114" t="s">
        <v>424</v>
      </c>
      <c r="F356" s="85"/>
      <c r="G356" s="85"/>
      <c r="H356" s="85"/>
      <c r="I356" s="85"/>
      <c r="J356" s="57"/>
      <c r="K356" s="58"/>
      <c r="M356" s="19"/>
      <c r="T356" s="20"/>
    </row>
    <row r="357" spans="1:20" s="18" customFormat="1" ht="13.5" thickBot="1" x14ac:dyDescent="0.25">
      <c r="A357" s="53"/>
      <c r="B357" s="53"/>
      <c r="C357" s="53"/>
      <c r="D357" s="53"/>
      <c r="E357" s="116" t="s">
        <v>425</v>
      </c>
      <c r="F357" s="92"/>
      <c r="G357" s="92"/>
      <c r="H357" s="92"/>
      <c r="I357" s="85"/>
      <c r="J357" s="57"/>
      <c r="K357" s="58"/>
      <c r="M357" s="19"/>
      <c r="T357" s="20"/>
    </row>
    <row r="358" spans="1:20" s="18" customFormat="1" ht="38.25" x14ac:dyDescent="0.2">
      <c r="A358" s="53"/>
      <c r="B358" s="53"/>
      <c r="C358" s="53"/>
      <c r="D358" s="53"/>
      <c r="E358" s="118" t="s">
        <v>426</v>
      </c>
      <c r="F358" s="85"/>
      <c r="G358" s="85"/>
      <c r="H358" s="85"/>
      <c r="I358" s="85"/>
      <c r="J358" s="57"/>
      <c r="K358" s="58"/>
      <c r="M358" s="19"/>
      <c r="T358" s="20"/>
    </row>
    <row r="359" spans="1:20" s="18" customFormat="1" x14ac:dyDescent="0.2">
      <c r="A359" s="53"/>
      <c r="B359" s="53"/>
      <c r="C359" s="53"/>
      <c r="D359" s="53"/>
      <c r="E359" s="114" t="s">
        <v>427</v>
      </c>
      <c r="F359" s="85"/>
      <c r="G359" s="85"/>
      <c r="H359" s="85"/>
      <c r="I359" s="85"/>
      <c r="J359" s="57"/>
      <c r="K359" s="58"/>
      <c r="M359" s="19"/>
      <c r="T359" s="20"/>
    </row>
    <row r="360" spans="1:20" s="18" customFormat="1" x14ac:dyDescent="0.2">
      <c r="A360" s="53"/>
      <c r="B360" s="53"/>
      <c r="C360" s="53"/>
      <c r="D360" s="53"/>
      <c r="E360" s="114" t="s">
        <v>428</v>
      </c>
      <c r="F360" s="85"/>
      <c r="G360" s="85"/>
      <c r="H360" s="85"/>
      <c r="I360" s="85"/>
      <c r="J360" s="57"/>
      <c r="K360" s="58"/>
      <c r="M360" s="19"/>
      <c r="T360" s="20"/>
    </row>
    <row r="361" spans="1:20" s="18" customFormat="1" x14ac:dyDescent="0.2">
      <c r="A361" s="53"/>
      <c r="B361" s="53"/>
      <c r="C361" s="53"/>
      <c r="D361" s="53"/>
      <c r="E361" s="114" t="s">
        <v>429</v>
      </c>
      <c r="F361" s="85"/>
      <c r="G361" s="85"/>
      <c r="H361" s="85"/>
      <c r="I361" s="85"/>
      <c r="J361" s="57"/>
      <c r="K361" s="58"/>
      <c r="M361" s="19"/>
      <c r="T361" s="20"/>
    </row>
    <row r="362" spans="1:20" s="18" customFormat="1" x14ac:dyDescent="0.2">
      <c r="A362" s="53"/>
      <c r="B362" s="53"/>
      <c r="C362" s="53"/>
      <c r="D362" s="53"/>
      <c r="E362" s="114" t="s">
        <v>430</v>
      </c>
      <c r="F362" s="85"/>
      <c r="G362" s="85"/>
      <c r="H362" s="85"/>
      <c r="I362" s="85"/>
      <c r="J362" s="57"/>
      <c r="K362" s="58"/>
      <c r="M362" s="19"/>
      <c r="T362" s="20"/>
    </row>
    <row r="363" spans="1:20" s="18" customFormat="1" x14ac:dyDescent="0.2">
      <c r="A363" s="53"/>
      <c r="B363" s="53"/>
      <c r="C363" s="53"/>
      <c r="D363" s="53"/>
      <c r="E363" s="114" t="s">
        <v>431</v>
      </c>
      <c r="F363" s="85"/>
      <c r="G363" s="85"/>
      <c r="H363" s="85"/>
      <c r="I363" s="85"/>
      <c r="J363" s="57"/>
      <c r="K363" s="58"/>
      <c r="M363" s="19"/>
      <c r="T363" s="20"/>
    </row>
    <row r="364" spans="1:20" s="18" customFormat="1" ht="13.5" thickBot="1" x14ac:dyDescent="0.25">
      <c r="A364" s="53"/>
      <c r="B364" s="53"/>
      <c r="C364" s="53"/>
      <c r="D364" s="53"/>
      <c r="E364" s="116" t="s">
        <v>432</v>
      </c>
      <c r="F364" s="92"/>
      <c r="G364" s="92"/>
      <c r="H364" s="92"/>
      <c r="I364" s="85"/>
      <c r="J364" s="57"/>
      <c r="K364" s="58"/>
      <c r="M364" s="19"/>
      <c r="T364" s="20"/>
    </row>
    <row r="365" spans="1:20" s="18" customFormat="1" ht="51" x14ac:dyDescent="0.2">
      <c r="A365" s="53"/>
      <c r="B365" s="53"/>
      <c r="C365" s="53"/>
      <c r="D365" s="53"/>
      <c r="E365" s="118" t="s">
        <v>415</v>
      </c>
      <c r="F365" s="85"/>
      <c r="G365" s="85"/>
      <c r="H365" s="85"/>
      <c r="I365" s="85"/>
      <c r="J365" s="57"/>
      <c r="K365" s="58"/>
      <c r="M365" s="19"/>
      <c r="T365" s="20"/>
    </row>
    <row r="366" spans="1:20" s="18" customFormat="1" x14ac:dyDescent="0.2">
      <c r="A366" s="53"/>
      <c r="B366" s="53"/>
      <c r="C366" s="53"/>
      <c r="D366" s="53"/>
      <c r="E366" s="114" t="s">
        <v>430</v>
      </c>
      <c r="F366" s="85"/>
      <c r="G366" s="85"/>
      <c r="H366" s="85"/>
      <c r="I366" s="85"/>
      <c r="J366" s="57"/>
      <c r="K366" s="58"/>
      <c r="M366" s="19"/>
      <c r="T366" s="20"/>
    </row>
    <row r="367" spans="1:20" s="18" customFormat="1" ht="13.5" thickBot="1" x14ac:dyDescent="0.25">
      <c r="A367" s="53"/>
      <c r="B367" s="53"/>
      <c r="C367" s="53"/>
      <c r="D367" s="53"/>
      <c r="E367" s="116" t="s">
        <v>432</v>
      </c>
      <c r="F367" s="92"/>
      <c r="G367" s="92"/>
      <c r="H367" s="92"/>
      <c r="I367" s="85"/>
      <c r="J367" s="57"/>
      <c r="K367" s="58"/>
      <c r="M367" s="19"/>
      <c r="T367" s="20"/>
    </row>
    <row r="368" spans="1:20" s="18" customFormat="1" ht="51" x14ac:dyDescent="0.2">
      <c r="A368" s="53"/>
      <c r="B368" s="53"/>
      <c r="C368" s="53"/>
      <c r="D368" s="53"/>
      <c r="E368" s="118" t="s">
        <v>416</v>
      </c>
      <c r="F368" s="85"/>
      <c r="G368" s="85"/>
      <c r="H368" s="85"/>
      <c r="I368" s="85"/>
      <c r="J368" s="57"/>
      <c r="K368" s="58"/>
      <c r="M368" s="19"/>
      <c r="T368" s="20"/>
    </row>
    <row r="369" spans="1:21" s="18" customFormat="1" x14ac:dyDescent="0.2">
      <c r="A369" s="53"/>
      <c r="B369" s="53"/>
      <c r="C369" s="53"/>
      <c r="D369" s="53"/>
      <c r="E369" s="114" t="s">
        <v>404</v>
      </c>
      <c r="F369" s="85"/>
      <c r="G369" s="85"/>
      <c r="H369" s="85"/>
      <c r="I369" s="85"/>
      <c r="J369" s="57"/>
      <c r="K369" s="58"/>
      <c r="M369" s="19"/>
      <c r="T369" s="20"/>
    </row>
    <row r="370" spans="1:21" s="18" customFormat="1" x14ac:dyDescent="0.2">
      <c r="A370" s="53"/>
      <c r="B370" s="53"/>
      <c r="C370" s="53"/>
      <c r="D370" s="53"/>
      <c r="E370" s="114" t="s">
        <v>406</v>
      </c>
      <c r="F370" s="85"/>
      <c r="G370" s="85"/>
      <c r="H370" s="85"/>
      <c r="I370" s="85"/>
      <c r="J370" s="57"/>
      <c r="K370" s="58"/>
      <c r="M370" s="19"/>
      <c r="T370" s="20"/>
    </row>
    <row r="371" spans="1:21" s="18" customFormat="1" ht="13.5" thickBot="1" x14ac:dyDescent="0.25">
      <c r="A371" s="53"/>
      <c r="B371" s="53"/>
      <c r="C371" s="53"/>
      <c r="D371" s="53"/>
      <c r="E371" s="114" t="s">
        <v>405</v>
      </c>
      <c r="F371" s="92"/>
      <c r="G371" s="92"/>
      <c r="H371" s="92"/>
      <c r="I371" s="85"/>
      <c r="J371" s="57"/>
      <c r="K371" s="58"/>
      <c r="M371" s="19"/>
      <c r="T371" s="20"/>
    </row>
    <row r="372" spans="1:21" s="18" customFormat="1" ht="51" x14ac:dyDescent="0.2">
      <c r="A372" s="53"/>
      <c r="B372" s="53"/>
      <c r="C372" s="53"/>
      <c r="D372" s="53"/>
      <c r="E372" s="118" t="s">
        <v>417</v>
      </c>
      <c r="F372" s="85"/>
      <c r="G372" s="85"/>
      <c r="H372" s="85"/>
      <c r="I372" s="85"/>
      <c r="J372" s="57"/>
      <c r="K372" s="58"/>
      <c r="M372" s="19"/>
      <c r="T372" s="20"/>
    </row>
    <row r="373" spans="1:21" s="18" customFormat="1" ht="13.5" thickBot="1" x14ac:dyDescent="0.25">
      <c r="A373" s="53"/>
      <c r="B373" s="53"/>
      <c r="C373" s="53"/>
      <c r="D373" s="53"/>
      <c r="E373" s="116" t="s">
        <v>433</v>
      </c>
      <c r="F373" s="92"/>
      <c r="G373" s="92"/>
      <c r="H373" s="92"/>
      <c r="I373" s="85"/>
      <c r="J373" s="57"/>
      <c r="K373" s="58"/>
      <c r="M373" s="19"/>
      <c r="T373" s="20"/>
    </row>
    <row r="374" spans="1:21" s="18" customFormat="1" ht="39.950000000000003" customHeight="1" x14ac:dyDescent="0.2">
      <c r="A374" s="53"/>
      <c r="B374" s="53"/>
      <c r="C374" s="53"/>
      <c r="D374" s="53"/>
      <c r="E374" s="118" t="s">
        <v>418</v>
      </c>
      <c r="F374" s="85"/>
      <c r="G374" s="85"/>
      <c r="H374" s="85"/>
      <c r="I374" s="85"/>
      <c r="J374" s="57"/>
      <c r="K374" s="58"/>
      <c r="M374" s="19"/>
      <c r="T374" s="20"/>
    </row>
    <row r="375" spans="1:21" s="18" customFormat="1" x14ac:dyDescent="0.2">
      <c r="A375" s="53"/>
      <c r="B375" s="53"/>
      <c r="C375" s="53"/>
      <c r="D375" s="53"/>
      <c r="E375" s="114" t="s">
        <v>430</v>
      </c>
      <c r="F375" s="85"/>
      <c r="G375" s="85"/>
      <c r="H375" s="85"/>
      <c r="I375" s="85"/>
      <c r="J375" s="57"/>
      <c r="K375" s="58"/>
      <c r="M375" s="19"/>
      <c r="T375" s="20"/>
    </row>
    <row r="376" spans="1:21" s="18" customFormat="1" ht="13.5" thickBot="1" x14ac:dyDescent="0.25">
      <c r="A376" s="53"/>
      <c r="B376" s="53"/>
      <c r="C376" s="53"/>
      <c r="D376" s="53"/>
      <c r="E376" s="116" t="s">
        <v>432</v>
      </c>
      <c r="F376" s="92"/>
      <c r="G376" s="92"/>
      <c r="H376" s="92"/>
      <c r="I376" s="85"/>
      <c r="J376" s="57"/>
      <c r="K376" s="58"/>
      <c r="M376" s="19"/>
      <c r="T376" s="20"/>
    </row>
    <row r="377" spans="1:21" s="18" customFormat="1" ht="25.5" x14ac:dyDescent="0.2">
      <c r="A377" s="53"/>
      <c r="B377" s="53"/>
      <c r="C377" s="53"/>
      <c r="D377" s="53"/>
      <c r="E377" s="118" t="s">
        <v>419</v>
      </c>
      <c r="F377" s="85"/>
      <c r="G377" s="85"/>
      <c r="H377" s="85"/>
      <c r="I377" s="85"/>
      <c r="J377" s="57"/>
      <c r="K377" s="58"/>
      <c r="M377" s="19"/>
      <c r="T377" s="20"/>
    </row>
    <row r="378" spans="1:21" s="18" customFormat="1" x14ac:dyDescent="0.2">
      <c r="A378" s="53"/>
      <c r="B378" s="53"/>
      <c r="C378" s="53"/>
      <c r="D378" s="53"/>
      <c r="E378" s="114" t="s">
        <v>433</v>
      </c>
      <c r="F378" s="85"/>
      <c r="G378" s="85"/>
      <c r="H378" s="85"/>
      <c r="I378" s="85"/>
      <c r="J378" s="57"/>
      <c r="K378" s="58"/>
      <c r="M378" s="19"/>
      <c r="T378" s="20"/>
    </row>
    <row r="379" spans="1:21" s="18" customFormat="1" x14ac:dyDescent="0.2">
      <c r="A379" s="53"/>
      <c r="B379" s="53"/>
      <c r="C379" s="53"/>
      <c r="D379" s="53"/>
      <c r="E379" s="114" t="s">
        <v>434</v>
      </c>
      <c r="F379" s="85"/>
      <c r="G379" s="85"/>
      <c r="H379" s="85"/>
      <c r="I379" s="85"/>
      <c r="J379" s="57"/>
      <c r="K379" s="58"/>
      <c r="M379" s="19"/>
      <c r="T379" s="20"/>
    </row>
    <row r="380" spans="1:21" s="18" customFormat="1" ht="13.5" thickBot="1" x14ac:dyDescent="0.25">
      <c r="A380" s="53"/>
      <c r="B380" s="53"/>
      <c r="C380" s="53"/>
      <c r="D380" s="53"/>
      <c r="E380" s="116" t="s">
        <v>413</v>
      </c>
      <c r="F380" s="92"/>
      <c r="G380" s="92"/>
      <c r="H380" s="92"/>
      <c r="I380" s="85"/>
      <c r="J380" s="57"/>
      <c r="K380" s="58"/>
      <c r="M380" s="19"/>
      <c r="T380" s="20"/>
    </row>
    <row r="381" spans="1:21" x14ac:dyDescent="0.2">
      <c r="E381" s="3"/>
      <c r="F381" s="4"/>
      <c r="J381" s="2"/>
      <c r="K381" s="4"/>
      <c r="M381" s="6"/>
      <c r="N381" s="4"/>
      <c r="T381" s="7"/>
      <c r="U381" s="4"/>
    </row>
    <row r="382" spans="1:21" x14ac:dyDescent="0.2">
      <c r="A382" s="8" t="s">
        <v>441</v>
      </c>
      <c r="E382" s="3"/>
      <c r="F382" s="4"/>
      <c r="J382" s="2"/>
      <c r="K382" s="4"/>
      <c r="M382" s="6"/>
      <c r="N382" s="4"/>
      <c r="T382" s="7"/>
      <c r="U382" s="4"/>
    </row>
    <row r="383" spans="1:21" ht="33" customHeight="1" x14ac:dyDescent="0.2">
      <c r="B383" s="9" t="s">
        <v>442</v>
      </c>
      <c r="C383" s="9"/>
      <c r="D383" s="9"/>
      <c r="E383" s="9"/>
      <c r="F383" s="9"/>
      <c r="G383" s="9"/>
      <c r="H383" s="9"/>
      <c r="J383" s="2"/>
      <c r="K383" s="4"/>
      <c r="M383" s="6"/>
      <c r="N383" s="4"/>
      <c r="T383" s="7"/>
      <c r="U383" s="4"/>
    </row>
    <row r="384" spans="1:21" x14ac:dyDescent="0.2">
      <c r="E384" s="3"/>
      <c r="F384" s="4"/>
      <c r="J384" s="2"/>
      <c r="K384" s="4"/>
      <c r="M384" s="6"/>
      <c r="N384" s="4"/>
      <c r="T384" s="7"/>
      <c r="U384" s="4"/>
    </row>
    <row r="385" spans="5:21" x14ac:dyDescent="0.2">
      <c r="E385" s="3"/>
      <c r="F385" s="4"/>
      <c r="J385" s="2"/>
      <c r="K385" s="4"/>
      <c r="M385" s="6"/>
      <c r="N385" s="4"/>
      <c r="T385" s="7"/>
      <c r="U385" s="4"/>
    </row>
    <row r="386" spans="5:21" x14ac:dyDescent="0.2">
      <c r="E386" s="3"/>
      <c r="F386" s="4"/>
      <c r="J386" s="2"/>
      <c r="K386" s="4"/>
      <c r="M386" s="6"/>
      <c r="N386" s="4"/>
      <c r="T386" s="7"/>
      <c r="U386" s="4"/>
    </row>
    <row r="387" spans="5:21" x14ac:dyDescent="0.2">
      <c r="E387" s="3"/>
      <c r="F387" s="4"/>
      <c r="J387" s="2"/>
      <c r="K387" s="4"/>
      <c r="M387" s="6"/>
      <c r="N387" s="4"/>
      <c r="T387" s="7"/>
      <c r="U387" s="4"/>
    </row>
    <row r="388" spans="5:21" x14ac:dyDescent="0.2">
      <c r="E388" s="3"/>
      <c r="F388" s="4"/>
      <c r="J388" s="2"/>
      <c r="K388" s="4"/>
      <c r="M388" s="6"/>
      <c r="N388" s="4"/>
      <c r="T388" s="7"/>
      <c r="U388" s="4"/>
    </row>
    <row r="389" spans="5:21" x14ac:dyDescent="0.2">
      <c r="E389" s="3"/>
      <c r="F389" s="4"/>
      <c r="J389" s="2"/>
      <c r="K389" s="4"/>
      <c r="M389" s="6"/>
      <c r="N389" s="4"/>
      <c r="T389" s="7"/>
      <c r="U389" s="4"/>
    </row>
    <row r="390" spans="5:21" x14ac:dyDescent="0.2">
      <c r="E390" s="3"/>
      <c r="F390" s="4"/>
      <c r="J390" s="2"/>
      <c r="K390" s="4"/>
      <c r="M390" s="6"/>
      <c r="N390" s="4"/>
      <c r="T390" s="7"/>
      <c r="U390" s="4"/>
    </row>
    <row r="391" spans="5:21" x14ac:dyDescent="0.2">
      <c r="E391" s="5"/>
      <c r="F391" s="4"/>
      <c r="J391" s="2"/>
      <c r="K391" s="4"/>
      <c r="M391" s="6"/>
      <c r="N391" s="4"/>
      <c r="T391" s="7"/>
      <c r="U391" s="4"/>
    </row>
    <row r="392" spans="5:21" x14ac:dyDescent="0.2">
      <c r="E392" s="3"/>
      <c r="F392" s="4"/>
      <c r="J392" s="2"/>
      <c r="K392" s="4"/>
      <c r="M392" s="6"/>
      <c r="N392" s="4"/>
      <c r="T392" s="7"/>
      <c r="U392" s="4"/>
    </row>
    <row r="393" spans="5:21" x14ac:dyDescent="0.2">
      <c r="E393" s="5"/>
      <c r="F393" s="4"/>
      <c r="J393" s="2"/>
      <c r="K393" s="4"/>
      <c r="M393" s="6"/>
      <c r="N393" s="4"/>
      <c r="T393" s="7"/>
      <c r="U393" s="4"/>
    </row>
    <row r="394" spans="5:21" x14ac:dyDescent="0.2">
      <c r="E394" s="3"/>
      <c r="F394" s="4"/>
      <c r="J394" s="2"/>
      <c r="K394" s="4"/>
      <c r="M394" s="6"/>
      <c r="N394" s="4"/>
      <c r="T394" s="7"/>
      <c r="U394" s="4"/>
    </row>
    <row r="395" spans="5:21" x14ac:dyDescent="0.2">
      <c r="E395" s="5"/>
      <c r="F395" s="4"/>
      <c r="J395" s="2"/>
      <c r="K395" s="4"/>
      <c r="M395" s="6"/>
      <c r="N395" s="4"/>
      <c r="T395" s="7"/>
      <c r="U395" s="4"/>
    </row>
    <row r="396" spans="5:21" x14ac:dyDescent="0.2">
      <c r="E396" s="3"/>
      <c r="F396" s="4"/>
      <c r="J396" s="2"/>
      <c r="K396" s="4"/>
      <c r="M396" s="6"/>
      <c r="N396" s="4"/>
      <c r="T396" s="7"/>
      <c r="U396" s="4"/>
    </row>
    <row r="397" spans="5:21" x14ac:dyDescent="0.2">
      <c r="E397" s="5"/>
      <c r="F397" s="4"/>
      <c r="J397" s="2"/>
      <c r="K397" s="4"/>
      <c r="M397" s="6"/>
      <c r="N397" s="4"/>
      <c r="T397" s="7"/>
      <c r="U397" s="4"/>
    </row>
    <row r="398" spans="5:21" x14ac:dyDescent="0.2">
      <c r="E398" s="3"/>
      <c r="F398" s="4"/>
      <c r="J398" s="2"/>
      <c r="K398" s="4"/>
      <c r="M398" s="6"/>
      <c r="N398" s="4"/>
      <c r="T398" s="7"/>
      <c r="U398" s="4"/>
    </row>
    <row r="399" spans="5:21" x14ac:dyDescent="0.2">
      <c r="E399" s="5"/>
      <c r="F399" s="4"/>
      <c r="J399" s="2"/>
      <c r="K399" s="4"/>
      <c r="M399" s="6"/>
      <c r="N399" s="4"/>
      <c r="T399" s="7"/>
      <c r="U399" s="4"/>
    </row>
    <row r="400" spans="5:21" x14ac:dyDescent="0.2">
      <c r="E400" s="3"/>
      <c r="F400" s="4"/>
      <c r="J400" s="2"/>
      <c r="K400" s="4"/>
      <c r="M400" s="6"/>
      <c r="N400" s="4"/>
      <c r="T400" s="7"/>
      <c r="U400" s="4"/>
    </row>
    <row r="401" spans="6:6" x14ac:dyDescent="0.2">
      <c r="F401" s="5"/>
    </row>
    <row r="402" spans="6:6" x14ac:dyDescent="0.2">
      <c r="F402" s="5"/>
    </row>
  </sheetData>
  <mergeCells count="96">
    <mergeCell ref="B383:H383"/>
    <mergeCell ref="A335:A380"/>
    <mergeCell ref="B335:B380"/>
    <mergeCell ref="C335:C380"/>
    <mergeCell ref="D335:D380"/>
    <mergeCell ref="A309:A334"/>
    <mergeCell ref="B309:B334"/>
    <mergeCell ref="C309:C334"/>
    <mergeCell ref="D309:D334"/>
    <mergeCell ref="A304:A308"/>
    <mergeCell ref="B304:B308"/>
    <mergeCell ref="C304:C308"/>
    <mergeCell ref="D304:D308"/>
    <mergeCell ref="A299:A303"/>
    <mergeCell ref="B299:B303"/>
    <mergeCell ref="C299:C303"/>
    <mergeCell ref="D299:D303"/>
    <mergeCell ref="A295:A298"/>
    <mergeCell ref="B295:B298"/>
    <mergeCell ref="C295:C298"/>
    <mergeCell ref="D295:D298"/>
    <mergeCell ref="A255:A294"/>
    <mergeCell ref="B255:B294"/>
    <mergeCell ref="C255:C294"/>
    <mergeCell ref="D255:D294"/>
    <mergeCell ref="A219:A237"/>
    <mergeCell ref="B219:B237"/>
    <mergeCell ref="C219:C237"/>
    <mergeCell ref="D219:D237"/>
    <mergeCell ref="A238:A254"/>
    <mergeCell ref="B238:B254"/>
    <mergeCell ref="C238:C254"/>
    <mergeCell ref="D238:D254"/>
    <mergeCell ref="A201:A218"/>
    <mergeCell ref="B201:B218"/>
    <mergeCell ref="C201:C218"/>
    <mergeCell ref="D201:D218"/>
    <mergeCell ref="A184:A200"/>
    <mergeCell ref="B184:B200"/>
    <mergeCell ref="C184:C200"/>
    <mergeCell ref="D184:D200"/>
    <mergeCell ref="A172:A183"/>
    <mergeCell ref="B172:B183"/>
    <mergeCell ref="C172:C183"/>
    <mergeCell ref="D172:D183"/>
    <mergeCell ref="A143:A171"/>
    <mergeCell ref="B143:B171"/>
    <mergeCell ref="C143:C171"/>
    <mergeCell ref="D143:D171"/>
    <mergeCell ref="A134:A142"/>
    <mergeCell ref="B134:B142"/>
    <mergeCell ref="C134:C142"/>
    <mergeCell ref="D134:D142"/>
    <mergeCell ref="A129:A133"/>
    <mergeCell ref="B129:B133"/>
    <mergeCell ref="C129:C133"/>
    <mergeCell ref="D129:D133"/>
    <mergeCell ref="A101:A128"/>
    <mergeCell ref="B101:B128"/>
    <mergeCell ref="C101:C128"/>
    <mergeCell ref="D101:D128"/>
    <mergeCell ref="A73:A90"/>
    <mergeCell ref="B73:B90"/>
    <mergeCell ref="C73:C90"/>
    <mergeCell ref="D73:D90"/>
    <mergeCell ref="A91:A100"/>
    <mergeCell ref="B91:B100"/>
    <mergeCell ref="C91:C100"/>
    <mergeCell ref="D91:D100"/>
    <mergeCell ref="A61:A72"/>
    <mergeCell ref="B61:B72"/>
    <mergeCell ref="C61:C72"/>
    <mergeCell ref="D61:D72"/>
    <mergeCell ref="A48:A60"/>
    <mergeCell ref="B48:B60"/>
    <mergeCell ref="C48:C60"/>
    <mergeCell ref="D48:D60"/>
    <mergeCell ref="A30:A47"/>
    <mergeCell ref="B30:B47"/>
    <mergeCell ref="C30:C47"/>
    <mergeCell ref="D30:D47"/>
    <mergeCell ref="F20:H20"/>
    <mergeCell ref="A21:A29"/>
    <mergeCell ref="B21:B29"/>
    <mergeCell ref="C21:C29"/>
    <mergeCell ref="D21:D29"/>
    <mergeCell ref="C8:L8"/>
    <mergeCell ref="C9:L9"/>
    <mergeCell ref="B18:D18"/>
    <mergeCell ref="E18:K18"/>
    <mergeCell ref="E19:J19"/>
    <mergeCell ref="C3:L3"/>
    <mergeCell ref="C4:L4"/>
    <mergeCell ref="C5:L5"/>
    <mergeCell ref="C6:L6"/>
    <mergeCell ref="C7:L7"/>
  </mergeCells>
  <conditionalFormatting sqref="F21:F308">
    <cfRule type="expression" dxfId="224" priority="62">
      <formula>$E$13&lt;&gt;"Low"</formula>
    </cfRule>
  </conditionalFormatting>
  <conditionalFormatting sqref="G21:G308">
    <cfRule type="expression" dxfId="223" priority="61">
      <formula>$E$13&lt;&gt;"Moderate"</formula>
    </cfRule>
  </conditionalFormatting>
  <conditionalFormatting sqref="H21:H308">
    <cfRule type="expression" dxfId="222" priority="60">
      <formula>$E$13&lt;&gt;"High"</formula>
    </cfRule>
  </conditionalFormatting>
  <conditionalFormatting sqref="E21:K29">
    <cfRule type="expression" dxfId="221" priority="59">
      <formula>$C$21 &lt;&gt; "Yes"</formula>
    </cfRule>
  </conditionalFormatting>
  <conditionalFormatting sqref="E30:K47">
    <cfRule type="expression" dxfId="220" priority="58">
      <formula>$C$30 &lt;&gt; "Yes"</formula>
    </cfRule>
  </conditionalFormatting>
  <conditionalFormatting sqref="E48:K61">
    <cfRule type="expression" dxfId="219" priority="57">
      <formula>$C$48 &lt;&gt; "Yes"</formula>
    </cfRule>
  </conditionalFormatting>
  <conditionalFormatting sqref="E61:K72">
    <cfRule type="expression" dxfId="218" priority="56">
      <formula>$C$61 &lt;&gt; "Yes"</formula>
    </cfRule>
  </conditionalFormatting>
  <conditionalFormatting sqref="E73:K90">
    <cfRule type="expression" dxfId="217" priority="55">
      <formula>$C$73 &lt;&gt; "Yes"</formula>
    </cfRule>
  </conditionalFormatting>
  <conditionalFormatting sqref="E91:K100">
    <cfRule type="expression" dxfId="216" priority="54">
      <formula>$C$91 &lt;&gt;"Yes"</formula>
    </cfRule>
  </conditionalFormatting>
  <conditionalFormatting sqref="E101:K128">
    <cfRule type="expression" dxfId="215" priority="53">
      <formula>$C$101&lt;&gt;"Yes"</formula>
    </cfRule>
  </conditionalFormatting>
  <conditionalFormatting sqref="E129:K133">
    <cfRule type="expression" dxfId="214" priority="52">
      <formula>$C$129&lt;&gt;"Yes"</formula>
    </cfRule>
  </conditionalFormatting>
  <conditionalFormatting sqref="E134:K142">
    <cfRule type="expression" dxfId="213" priority="51">
      <formula>$C$134&lt;&gt;"Yes"</formula>
    </cfRule>
  </conditionalFormatting>
  <conditionalFormatting sqref="E143:K171">
    <cfRule type="expression" dxfId="212" priority="50">
      <formula>$C$143&lt;&gt;"Yes"</formula>
    </cfRule>
  </conditionalFormatting>
  <conditionalFormatting sqref="E172:K183">
    <cfRule type="expression" dxfId="211" priority="49">
      <formula>$C$172&lt;&gt;"Yes"</formula>
    </cfRule>
  </conditionalFormatting>
  <conditionalFormatting sqref="E184:K200">
    <cfRule type="expression" dxfId="210" priority="48">
      <formula>$C$184&lt;&gt;"Yes"</formula>
    </cfRule>
  </conditionalFormatting>
  <conditionalFormatting sqref="E202:K218 F201:K201">
    <cfRule type="expression" dxfId="209" priority="47">
      <formula>$C$201&lt;&gt;"Yes"</formula>
    </cfRule>
  </conditionalFormatting>
  <conditionalFormatting sqref="E219:K237">
    <cfRule type="expression" dxfId="208" priority="46">
      <formula>$C$219&lt;&gt;"Yes"</formula>
    </cfRule>
  </conditionalFormatting>
  <conditionalFormatting sqref="E238:K254">
    <cfRule type="expression" dxfId="207" priority="45">
      <formula>$C$238&lt;&gt;"Yes"</formula>
    </cfRule>
  </conditionalFormatting>
  <conditionalFormatting sqref="E255:K294">
    <cfRule type="expression" dxfId="206" priority="44">
      <formula>$C$255&lt;&gt;"Yes"</formula>
    </cfRule>
  </conditionalFormatting>
  <conditionalFormatting sqref="E295:K298">
    <cfRule type="expression" dxfId="205" priority="43">
      <formula>$C$295&lt;&gt;"Yes"</formula>
    </cfRule>
  </conditionalFormatting>
  <conditionalFormatting sqref="E299:K303">
    <cfRule type="expression" dxfId="204" priority="42">
      <formula>$C$299&lt;&gt;"Yes"</formula>
    </cfRule>
  </conditionalFormatting>
  <conditionalFormatting sqref="E304:K308">
    <cfRule type="expression" dxfId="203" priority="41">
      <formula>$C$304&lt;&gt;"Yes"</formula>
    </cfRule>
  </conditionalFormatting>
  <conditionalFormatting sqref="E309:K334">
    <cfRule type="expression" dxfId="202" priority="40">
      <formula>$C$309&lt;&gt;"Yes"</formula>
    </cfRule>
  </conditionalFormatting>
  <conditionalFormatting sqref="E335:K335 E341:K341 F336:K339 E345:K345 F342:K343 F351:K356 F346:K346 I340:K340 E344 I344:K344 F348:K349 I347:K347 I350:K350 F358:K363 I357:K357 F365:K366 I364:K364 F368:K370 I367:K367 F372:K372 I371:K371 F374:K375 I373:K373 F377:K380 I376:K376">
    <cfRule type="expression" dxfId="201" priority="39">
      <formula>$C$335&lt;&gt;"Yes"</formula>
    </cfRule>
  </conditionalFormatting>
  <conditionalFormatting sqref="E201">
    <cfRule type="expression" dxfId="200" priority="38">
      <formula>$C$48 &lt;&gt; "Yes"</formula>
    </cfRule>
  </conditionalFormatting>
  <conditionalFormatting sqref="E336:E340">
    <cfRule type="expression" dxfId="199" priority="37">
      <formula>$C$309&lt;&gt;"Yes"</formula>
    </cfRule>
  </conditionalFormatting>
  <conditionalFormatting sqref="E342:E343">
    <cfRule type="expression" dxfId="198" priority="36">
      <formula>$C$309&lt;&gt;"Yes"</formula>
    </cfRule>
  </conditionalFormatting>
  <conditionalFormatting sqref="E346:E347">
    <cfRule type="expression" dxfId="197" priority="35">
      <formula>$C$309&lt;&gt;"Yes"</formula>
    </cfRule>
  </conditionalFormatting>
  <conditionalFormatting sqref="E348">
    <cfRule type="expression" dxfId="196" priority="34">
      <formula>$C$335&lt;&gt;"Yes"</formula>
    </cfRule>
  </conditionalFormatting>
  <conditionalFormatting sqref="E349:E350">
    <cfRule type="expression" dxfId="195" priority="33">
      <formula>$C$309&lt;&gt;"Yes"</formula>
    </cfRule>
  </conditionalFormatting>
  <conditionalFormatting sqref="F350:H350">
    <cfRule type="expression" dxfId="194" priority="29">
      <formula>$C$309&lt;&gt;"Yes"</formula>
    </cfRule>
  </conditionalFormatting>
  <conditionalFormatting sqref="F340:H340">
    <cfRule type="expression" dxfId="193" priority="32">
      <formula>$C$309&lt;&gt;"Yes"</formula>
    </cfRule>
  </conditionalFormatting>
  <conditionalFormatting sqref="F344:H344">
    <cfRule type="expression" dxfId="192" priority="31">
      <formula>$C$309&lt;&gt;"Yes"</formula>
    </cfRule>
  </conditionalFormatting>
  <conditionalFormatting sqref="F347:H347">
    <cfRule type="expression" dxfId="191" priority="30">
      <formula>$C$309&lt;&gt;"Yes"</formula>
    </cfRule>
  </conditionalFormatting>
  <conditionalFormatting sqref="E351:E380">
    <cfRule type="expression" dxfId="190" priority="28">
      <formula>$C$309&lt;&gt;"Yes"</formula>
    </cfRule>
  </conditionalFormatting>
  <conditionalFormatting sqref="F357:H357">
    <cfRule type="expression" dxfId="189" priority="27">
      <formula>$C$309&lt;&gt;"Yes"</formula>
    </cfRule>
  </conditionalFormatting>
  <conditionalFormatting sqref="F364:H364">
    <cfRule type="expression" dxfId="188" priority="26">
      <formula>$C$309&lt;&gt;"Yes"</formula>
    </cfRule>
  </conditionalFormatting>
  <conditionalFormatting sqref="F367:H367">
    <cfRule type="expression" dxfId="187" priority="25">
      <formula>$C$309&lt;&gt;"Yes"</formula>
    </cfRule>
  </conditionalFormatting>
  <conditionalFormatting sqref="F371:H371">
    <cfRule type="expression" dxfId="186" priority="24">
      <formula>$C$309&lt;&gt;"Yes"</formula>
    </cfRule>
  </conditionalFormatting>
  <conditionalFormatting sqref="F373:H373">
    <cfRule type="expression" dxfId="185" priority="23">
      <formula>$C$309&lt;&gt;"Yes"</formula>
    </cfRule>
  </conditionalFormatting>
  <conditionalFormatting sqref="F376:H376">
    <cfRule type="expression" dxfId="184" priority="22">
      <formula>$C$309&lt;&gt;"Yes"</formula>
    </cfRule>
  </conditionalFormatting>
  <conditionalFormatting sqref="D21:D29">
    <cfRule type="expression" dxfId="183" priority="21">
      <formula>$C$21="Yes"</formula>
    </cfRule>
  </conditionalFormatting>
  <conditionalFormatting sqref="D30:D47">
    <cfRule type="expression" dxfId="182" priority="20">
      <formula>$C$30="Yes"</formula>
    </cfRule>
  </conditionalFormatting>
  <conditionalFormatting sqref="D48:D60">
    <cfRule type="expression" dxfId="181" priority="19">
      <formula>$C$48="Yes"</formula>
    </cfRule>
  </conditionalFormatting>
  <conditionalFormatting sqref="D61:D72">
    <cfRule type="expression" dxfId="180" priority="18">
      <formula>$C$61="Yes"</formula>
    </cfRule>
  </conditionalFormatting>
  <conditionalFormatting sqref="D73:D90">
    <cfRule type="expression" dxfId="179" priority="17">
      <formula>$C$73="Yes"</formula>
    </cfRule>
  </conditionalFormatting>
  <conditionalFormatting sqref="D91:D100">
    <cfRule type="expression" dxfId="178" priority="16">
      <formula>$C$91="Yes"</formula>
    </cfRule>
  </conditionalFormatting>
  <conditionalFormatting sqref="D101:D128">
    <cfRule type="expression" dxfId="177" priority="15">
      <formula>$C$101="Yes"</formula>
    </cfRule>
  </conditionalFormatting>
  <conditionalFormatting sqref="D129:D133">
    <cfRule type="expression" dxfId="176" priority="14">
      <formula>$C$129="Yes"</formula>
    </cfRule>
  </conditionalFormatting>
  <conditionalFormatting sqref="D134:D142">
    <cfRule type="expression" dxfId="175" priority="13">
      <formula>$C$134="Yes"</formula>
    </cfRule>
  </conditionalFormatting>
  <conditionalFormatting sqref="D143:D171">
    <cfRule type="expression" dxfId="174" priority="12">
      <formula>$C$143="Yes"</formula>
    </cfRule>
  </conditionalFormatting>
  <conditionalFormatting sqref="D172:D183">
    <cfRule type="expression" dxfId="173" priority="11">
      <formula>$C$172="Yes"</formula>
    </cfRule>
  </conditionalFormatting>
  <conditionalFormatting sqref="D184:D200">
    <cfRule type="expression" dxfId="172" priority="10">
      <formula>$C$184="Yes"</formula>
    </cfRule>
  </conditionalFormatting>
  <conditionalFormatting sqref="D201:D218">
    <cfRule type="expression" dxfId="171" priority="9">
      <formula>$C$201="Yes"</formula>
    </cfRule>
  </conditionalFormatting>
  <conditionalFormatting sqref="D219:D237">
    <cfRule type="expression" dxfId="170" priority="8">
      <formula>$C$219="Yes"</formula>
    </cfRule>
  </conditionalFormatting>
  <conditionalFormatting sqref="D238:D254">
    <cfRule type="expression" dxfId="169" priority="7">
      <formula>$C$238="Yes"</formula>
    </cfRule>
  </conditionalFormatting>
  <conditionalFormatting sqref="D255:D294">
    <cfRule type="expression" dxfId="168" priority="6">
      <formula>$C$255="Yes"</formula>
    </cfRule>
  </conditionalFormatting>
  <conditionalFormatting sqref="D295:D298">
    <cfRule type="expression" dxfId="167" priority="5">
      <formula>$C$295="Yes"</formula>
    </cfRule>
  </conditionalFormatting>
  <conditionalFormatting sqref="D299:D303">
    <cfRule type="expression" dxfId="166" priority="4">
      <formula>$C$299="Yes"</formula>
    </cfRule>
  </conditionalFormatting>
  <conditionalFormatting sqref="D304:D308">
    <cfRule type="expression" dxfId="165" priority="3">
      <formula>$C$299="Yes"</formula>
    </cfRule>
  </conditionalFormatting>
  <conditionalFormatting sqref="D309:D334">
    <cfRule type="expression" dxfId="164" priority="2">
      <formula>$C$309="Yes"</formula>
    </cfRule>
  </conditionalFormatting>
  <conditionalFormatting sqref="D335:D380">
    <cfRule type="expression" dxfId="163" priority="1">
      <formula>$C$335="Yes"</formula>
    </cfRule>
  </conditionalFormatting>
  <dataValidations disablePrompts="1" count="3">
    <dataValidation type="list" allowBlank="1" showInputMessage="1" showErrorMessage="1" sqref="C21:C380" xr:uid="{00000000-0002-0000-0000-000000000000}">
      <formula1>"Yes, No"</formula1>
    </dataValidation>
    <dataValidation type="list" allowBlank="1" showInputMessage="1" showErrorMessage="1" sqref="F309:H380" xr:uid="{00000000-0002-0000-0000-000001000000}">
      <formula1>"Yes, No, N/A"</formula1>
    </dataValidation>
    <dataValidation type="list" allowBlank="1" showInputMessage="1" showErrorMessage="1" sqref="D13:D15" xr:uid="{00000000-0002-0000-0000-000002000000}">
      <formula1>$M$11:$M$13</formula1>
    </dataValidation>
  </dataValidations>
  <pageMargins left="0.7" right="0.7" top="0.75" bottom="0.75" header="0.3" footer="0.3"/>
  <pageSetup paperSize="17" scale="33" fitToHeight="2" orientation="portrait" r:id="rId1"/>
  <headerFooter>
    <oddHeader>&amp;L&amp;G
&amp;"Cambria,Regular"&amp;11Doc Number: D0000003422
Name: Product Security Standard Assessment
Revision: AA&amp;10
&amp;20Form</oddHeader>
    <oddFooter>&amp;L&amp;"Cambria,Regular"&amp;8Stryker Confidential&amp;R&amp;"Cambria,Regular"&amp;8Page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89"/>
  <sheetViews>
    <sheetView topLeftCell="A167" zoomScaleNormal="100" workbookViewId="0"/>
  </sheetViews>
  <sheetFormatPr defaultColWidth="9.140625" defaultRowHeight="12.75" x14ac:dyDescent="0.2"/>
  <cols>
    <col min="1" max="1" width="9.140625" style="2"/>
    <col min="2" max="2" width="17.7109375" style="2" customWidth="1"/>
    <col min="3" max="3" width="14.42578125" style="2" customWidth="1"/>
    <col min="4" max="4" width="27" style="2" customWidth="1"/>
    <col min="5" max="5" width="59.85546875" style="2" bestFit="1" customWidth="1"/>
    <col min="6" max="6" width="7.7109375" style="2" hidden="1" customWidth="1"/>
    <col min="7" max="7" width="7.7109375" style="2" customWidth="1"/>
    <col min="8" max="8" width="14.28515625" style="3" customWidth="1"/>
    <col min="9" max="10" width="14.28515625" style="4" customWidth="1"/>
    <col min="11" max="11" width="16.5703125" style="4" customWidth="1"/>
    <col min="12" max="12" width="40.85546875" style="4" hidden="1" customWidth="1"/>
    <col min="13" max="13" width="36.5703125" style="4" customWidth="1"/>
    <col min="14" max="14" width="26.5703125" style="2" customWidth="1"/>
    <col min="15" max="15" width="1" style="4" hidden="1" customWidth="1"/>
    <col min="16" max="16" width="115.28515625" style="4" customWidth="1"/>
    <col min="17" max="17" width="9.140625" style="6"/>
    <col min="18" max="23" width="9.140625" style="4"/>
    <col min="24" max="24" width="48.28515625" style="7" customWidth="1"/>
    <col min="25" max="16384" width="9.140625" style="4"/>
  </cols>
  <sheetData>
    <row r="1" spans="1:24" s="18" customFormat="1" ht="20.25" x14ac:dyDescent="0.3">
      <c r="A1" s="15"/>
      <c r="B1" s="15"/>
      <c r="C1" s="16" t="s">
        <v>342</v>
      </c>
      <c r="D1" s="15"/>
      <c r="E1" s="15"/>
      <c r="F1" s="15"/>
      <c r="G1" s="15"/>
      <c r="H1" s="17"/>
      <c r="N1" s="15"/>
      <c r="Q1" s="19"/>
      <c r="X1" s="20"/>
    </row>
    <row r="2" spans="1:24" s="18" customFormat="1" ht="20.25" x14ac:dyDescent="0.3">
      <c r="A2" s="15"/>
      <c r="B2" s="15"/>
      <c r="C2" s="16"/>
      <c r="D2" s="15"/>
      <c r="E2" s="15"/>
      <c r="F2" s="15"/>
      <c r="G2" s="15"/>
      <c r="H2" s="17"/>
      <c r="N2" s="15"/>
      <c r="Q2" s="19"/>
      <c r="X2" s="20"/>
    </row>
    <row r="3" spans="1:24" s="18" customFormat="1" ht="25.5" customHeight="1" x14ac:dyDescent="0.2">
      <c r="A3" s="15"/>
      <c r="B3" s="15"/>
      <c r="C3" s="21" t="s">
        <v>240</v>
      </c>
      <c r="D3" s="22"/>
      <c r="E3" s="22"/>
      <c r="F3" s="22"/>
      <c r="G3" s="22"/>
      <c r="H3" s="22"/>
      <c r="I3" s="22"/>
      <c r="J3" s="22"/>
      <c r="K3" s="22"/>
      <c r="L3" s="22"/>
      <c r="M3" s="22"/>
      <c r="N3" s="22"/>
      <c r="O3" s="23"/>
      <c r="Q3" s="19"/>
      <c r="X3" s="20"/>
    </row>
    <row r="4" spans="1:24" s="18" customFormat="1" ht="12.75" customHeight="1" x14ac:dyDescent="0.2">
      <c r="A4" s="15"/>
      <c r="B4" s="15"/>
      <c r="C4" s="24" t="s">
        <v>437</v>
      </c>
      <c r="D4" s="25"/>
      <c r="E4" s="25"/>
      <c r="F4" s="25"/>
      <c r="G4" s="25"/>
      <c r="H4" s="25"/>
      <c r="I4" s="25"/>
      <c r="J4" s="25"/>
      <c r="K4" s="25"/>
      <c r="L4" s="25"/>
      <c r="M4" s="25"/>
      <c r="N4" s="25"/>
      <c r="O4" s="26"/>
      <c r="Q4" s="19"/>
      <c r="X4" s="20"/>
    </row>
    <row r="5" spans="1:24" s="18" customFormat="1" ht="12.75" customHeight="1" x14ac:dyDescent="0.2">
      <c r="A5" s="15"/>
      <c r="B5" s="15"/>
      <c r="C5" s="24" t="s">
        <v>241</v>
      </c>
      <c r="D5" s="25"/>
      <c r="E5" s="25"/>
      <c r="F5" s="25"/>
      <c r="G5" s="25"/>
      <c r="H5" s="25"/>
      <c r="I5" s="25"/>
      <c r="J5" s="25"/>
      <c r="K5" s="25"/>
      <c r="L5" s="25"/>
      <c r="M5" s="25"/>
      <c r="N5" s="25"/>
      <c r="O5" s="26"/>
      <c r="Q5" s="19"/>
      <c r="X5" s="20"/>
    </row>
    <row r="6" spans="1:24" s="18" customFormat="1" ht="12.75" customHeight="1" x14ac:dyDescent="0.2">
      <c r="A6" s="15"/>
      <c r="B6" s="15"/>
      <c r="C6" s="24" t="s">
        <v>343</v>
      </c>
      <c r="D6" s="25"/>
      <c r="E6" s="25"/>
      <c r="F6" s="25"/>
      <c r="G6" s="25"/>
      <c r="H6" s="25"/>
      <c r="I6" s="25"/>
      <c r="J6" s="25"/>
      <c r="K6" s="25"/>
      <c r="L6" s="25"/>
      <c r="M6" s="25"/>
      <c r="N6" s="25"/>
      <c r="O6" s="26"/>
      <c r="Q6" s="19"/>
      <c r="X6" s="20"/>
    </row>
    <row r="7" spans="1:24" s="18" customFormat="1" ht="27.75" customHeight="1" x14ac:dyDescent="0.2">
      <c r="A7" s="15"/>
      <c r="B7" s="15"/>
      <c r="C7" s="24" t="s">
        <v>344</v>
      </c>
      <c r="D7" s="25"/>
      <c r="E7" s="25"/>
      <c r="F7" s="25"/>
      <c r="G7" s="25"/>
      <c r="H7" s="25"/>
      <c r="I7" s="25"/>
      <c r="J7" s="25"/>
      <c r="K7" s="25"/>
      <c r="L7" s="25"/>
      <c r="M7" s="25"/>
      <c r="N7" s="25"/>
      <c r="O7" s="26"/>
      <c r="Q7" s="19"/>
      <c r="X7" s="20"/>
    </row>
    <row r="8" spans="1:24" s="18" customFormat="1" ht="12.75" customHeight="1" x14ac:dyDescent="0.2">
      <c r="A8" s="15"/>
      <c r="B8" s="15"/>
      <c r="C8" s="24" t="s">
        <v>300</v>
      </c>
      <c r="D8" s="25"/>
      <c r="E8" s="25"/>
      <c r="F8" s="25"/>
      <c r="G8" s="25"/>
      <c r="H8" s="25"/>
      <c r="I8" s="25"/>
      <c r="J8" s="25"/>
      <c r="K8" s="25"/>
      <c r="L8" s="25"/>
      <c r="M8" s="25"/>
      <c r="N8" s="25"/>
      <c r="O8" s="26"/>
      <c r="Q8" s="19"/>
      <c r="X8" s="20"/>
    </row>
    <row r="9" spans="1:24" s="18" customFormat="1" ht="12.75" customHeight="1" x14ac:dyDescent="0.2">
      <c r="A9" s="15"/>
      <c r="B9" s="15"/>
      <c r="C9" s="27" t="s">
        <v>435</v>
      </c>
      <c r="D9" s="28"/>
      <c r="E9" s="28"/>
      <c r="F9" s="28"/>
      <c r="G9" s="28"/>
      <c r="H9" s="28"/>
      <c r="I9" s="28"/>
      <c r="J9" s="28"/>
      <c r="K9" s="28"/>
      <c r="L9" s="28"/>
      <c r="M9" s="28"/>
      <c r="N9" s="28"/>
      <c r="O9" s="29"/>
      <c r="Q9" s="19"/>
      <c r="X9" s="20"/>
    </row>
    <row r="10" spans="1:24" s="18" customFormat="1" ht="12.75" customHeight="1" x14ac:dyDescent="0.2">
      <c r="A10" s="15"/>
      <c r="B10" s="15"/>
      <c r="C10" s="30"/>
      <c r="D10" s="30"/>
      <c r="E10" s="30"/>
      <c r="F10" s="30"/>
      <c r="G10" s="30"/>
      <c r="H10" s="30"/>
      <c r="I10" s="30"/>
      <c r="J10" s="30"/>
      <c r="K10" s="30"/>
      <c r="L10" s="30"/>
      <c r="M10" s="30"/>
      <c r="N10" s="30"/>
      <c r="O10" s="30"/>
      <c r="Q10" s="19"/>
      <c r="X10" s="20"/>
    </row>
    <row r="11" spans="1:24" s="18" customFormat="1" x14ac:dyDescent="0.2">
      <c r="A11" s="15"/>
      <c r="B11" s="15"/>
      <c r="C11" s="31" t="s">
        <v>363</v>
      </c>
      <c r="D11" s="15"/>
      <c r="E11" s="15"/>
      <c r="F11" s="15"/>
      <c r="G11" s="15"/>
      <c r="H11" s="17"/>
      <c r="N11" s="15"/>
      <c r="Q11" s="19"/>
      <c r="X11" s="20"/>
    </row>
    <row r="12" spans="1:24" s="18" customFormat="1" x14ac:dyDescent="0.2">
      <c r="A12" s="15"/>
      <c r="B12" s="15"/>
      <c r="C12" s="32" t="s">
        <v>348</v>
      </c>
      <c r="D12" s="15" t="s">
        <v>349</v>
      </c>
      <c r="E12" s="15" t="s">
        <v>364</v>
      </c>
      <c r="F12" s="15"/>
      <c r="G12" s="15"/>
      <c r="H12" s="17"/>
      <c r="N12" s="15"/>
      <c r="Q12" s="19"/>
      <c r="X12" s="20"/>
    </row>
    <row r="13" spans="1:24" s="18" customFormat="1" x14ac:dyDescent="0.2">
      <c r="A13" s="15"/>
      <c r="B13" s="15"/>
      <c r="C13" s="33">
        <v>1</v>
      </c>
      <c r="D13" s="34" t="s">
        <v>351</v>
      </c>
      <c r="E13" s="15"/>
      <c r="F13" s="15"/>
      <c r="G13" s="15"/>
      <c r="H13" s="17"/>
      <c r="N13" s="15"/>
      <c r="Q13" s="19"/>
      <c r="X13" s="20"/>
    </row>
    <row r="14" spans="1:24" s="18" customFormat="1" x14ac:dyDescent="0.2">
      <c r="A14" s="15"/>
      <c r="B14" s="15"/>
      <c r="C14" s="33">
        <v>2</v>
      </c>
      <c r="D14" s="34" t="s">
        <v>351</v>
      </c>
      <c r="E14" s="15"/>
      <c r="F14" s="15"/>
      <c r="G14" s="15"/>
      <c r="H14" s="17"/>
      <c r="N14" s="15"/>
      <c r="Q14" s="19"/>
      <c r="X14" s="20"/>
    </row>
    <row r="15" spans="1:24" s="18" customFormat="1" x14ac:dyDescent="0.2">
      <c r="A15" s="15"/>
      <c r="B15" s="15"/>
      <c r="C15" s="33">
        <v>3</v>
      </c>
      <c r="D15" s="34" t="s">
        <v>350</v>
      </c>
      <c r="E15" s="15"/>
      <c r="F15" s="15"/>
      <c r="G15" s="15"/>
      <c r="H15" s="17"/>
      <c r="N15" s="15"/>
      <c r="Q15" s="19"/>
      <c r="X15" s="20"/>
    </row>
    <row r="16" spans="1:24" s="18" customFormat="1" x14ac:dyDescent="0.2">
      <c r="A16" s="15"/>
      <c r="B16" s="15"/>
      <c r="C16" s="33">
        <v>4</v>
      </c>
      <c r="D16" s="34" t="s">
        <v>350</v>
      </c>
      <c r="E16" s="15"/>
      <c r="F16" s="15"/>
      <c r="G16" s="15"/>
      <c r="H16" s="17"/>
      <c r="N16" s="15"/>
      <c r="Q16" s="19"/>
      <c r="X16" s="20"/>
    </row>
    <row r="17" spans="1:24" s="18" customFormat="1" x14ac:dyDescent="0.2">
      <c r="A17" s="15"/>
      <c r="B17" s="15"/>
      <c r="C17" s="33">
        <v>5</v>
      </c>
      <c r="D17" s="34" t="s">
        <v>352</v>
      </c>
      <c r="E17" s="15"/>
      <c r="F17" s="15"/>
      <c r="G17" s="15"/>
      <c r="H17" s="17"/>
      <c r="N17" s="15"/>
      <c r="Q17" s="19"/>
      <c r="X17" s="20"/>
    </row>
    <row r="18" spans="1:24" s="18" customFormat="1" x14ac:dyDescent="0.2">
      <c r="A18" s="15"/>
      <c r="B18" s="15"/>
      <c r="C18" s="33">
        <v>6</v>
      </c>
      <c r="D18" s="34" t="s">
        <v>350</v>
      </c>
      <c r="E18" s="15"/>
      <c r="F18" s="15"/>
      <c r="G18" s="15"/>
      <c r="H18" s="17"/>
      <c r="N18" s="15"/>
      <c r="Q18" s="19"/>
      <c r="X18" s="20"/>
    </row>
    <row r="19" spans="1:24" s="18" customFormat="1" x14ac:dyDescent="0.2">
      <c r="A19" s="15"/>
      <c r="B19" s="15"/>
      <c r="C19" s="33">
        <v>7</v>
      </c>
      <c r="D19" s="34" t="s">
        <v>352</v>
      </c>
      <c r="E19" s="15"/>
      <c r="F19" s="15"/>
      <c r="G19" s="15"/>
      <c r="H19" s="17"/>
      <c r="N19" s="15"/>
      <c r="Q19" s="19"/>
      <c r="X19" s="20"/>
    </row>
    <row r="20" spans="1:24" s="18" customFormat="1" ht="13.5" thickBot="1" x14ac:dyDescent="0.25">
      <c r="A20" s="15"/>
      <c r="B20" s="15"/>
      <c r="C20" s="15"/>
      <c r="D20" s="15"/>
      <c r="E20" s="15"/>
      <c r="F20" s="15"/>
      <c r="G20" s="15"/>
      <c r="H20" s="17"/>
      <c r="N20" s="15"/>
      <c r="Q20" s="19"/>
      <c r="X20" s="20"/>
    </row>
    <row r="21" spans="1:24" s="18" customFormat="1" ht="13.5" thickBot="1" x14ac:dyDescent="0.25">
      <c r="A21" s="15"/>
      <c r="B21" s="35" t="s">
        <v>267</v>
      </c>
      <c r="C21" s="36"/>
      <c r="D21" s="37"/>
      <c r="E21" s="35" t="s">
        <v>268</v>
      </c>
      <c r="F21" s="36"/>
      <c r="G21" s="36"/>
      <c r="H21" s="36"/>
      <c r="I21" s="36"/>
      <c r="J21" s="36"/>
      <c r="K21" s="36"/>
      <c r="L21" s="36"/>
      <c r="M21" s="36"/>
      <c r="N21" s="38"/>
      <c r="Q21" s="19"/>
      <c r="X21" s="20"/>
    </row>
    <row r="22" spans="1:24" s="18" customFormat="1" ht="53.25" hidden="1" customHeight="1" thickBot="1" x14ac:dyDescent="0.25">
      <c r="A22" s="15"/>
      <c r="B22" s="39"/>
      <c r="C22" s="40"/>
      <c r="D22" s="41"/>
      <c r="E22" s="42" t="s">
        <v>341</v>
      </c>
      <c r="F22" s="43"/>
      <c r="G22" s="43"/>
      <c r="H22" s="43"/>
      <c r="I22" s="43"/>
      <c r="J22" s="43"/>
      <c r="K22" s="43"/>
      <c r="L22" s="43"/>
      <c r="M22" s="44"/>
      <c r="N22" s="45" t="s">
        <v>181</v>
      </c>
      <c r="Q22" s="19"/>
      <c r="X22" s="20"/>
    </row>
    <row r="23" spans="1:24" s="18" customFormat="1" ht="76.5" customHeight="1" thickBot="1" x14ac:dyDescent="0.25">
      <c r="A23" s="46" t="s">
        <v>180</v>
      </c>
      <c r="B23" s="47" t="s">
        <v>399</v>
      </c>
      <c r="C23" s="46" t="s">
        <v>179</v>
      </c>
      <c r="D23" s="46" t="s">
        <v>436</v>
      </c>
      <c r="E23" s="46" t="s">
        <v>398</v>
      </c>
      <c r="F23" s="48" t="s">
        <v>347</v>
      </c>
      <c r="G23" s="48" t="s">
        <v>346</v>
      </c>
      <c r="H23" s="49" t="s">
        <v>362</v>
      </c>
      <c r="I23" s="50"/>
      <c r="J23" s="50"/>
      <c r="K23" s="51"/>
      <c r="L23" s="46" t="s">
        <v>182</v>
      </c>
      <c r="M23" s="46" t="s">
        <v>301</v>
      </c>
      <c r="N23" s="46" t="s">
        <v>400</v>
      </c>
      <c r="P23" s="19"/>
      <c r="W23" s="20"/>
    </row>
    <row r="24" spans="1:24" s="18" customFormat="1" ht="12.75" customHeight="1" x14ac:dyDescent="0.2">
      <c r="A24" s="52">
        <v>10</v>
      </c>
      <c r="B24" s="52" t="s">
        <v>178</v>
      </c>
      <c r="C24" s="53" t="s">
        <v>302</v>
      </c>
      <c r="D24" s="53"/>
      <c r="E24" s="54" t="s">
        <v>183</v>
      </c>
      <c r="F24" s="55">
        <v>2</v>
      </c>
      <c r="G24" s="55" t="str">
        <f>VLOOKUP($F24,$C$13:$D$19,2)</f>
        <v>SL-3</v>
      </c>
      <c r="H24" s="56" t="s">
        <v>302</v>
      </c>
      <c r="I24" s="56" t="s">
        <v>302</v>
      </c>
      <c r="J24" s="56" t="s">
        <v>302</v>
      </c>
      <c r="K24" s="56" t="s">
        <v>302</v>
      </c>
      <c r="L24" s="56"/>
      <c r="M24" s="57"/>
      <c r="N24" s="58"/>
      <c r="P24" s="19"/>
      <c r="W24" s="20"/>
    </row>
    <row r="25" spans="1:24" s="18" customFormat="1" ht="61.5" customHeight="1" thickBot="1" x14ac:dyDescent="0.25">
      <c r="A25" s="59"/>
      <c r="B25" s="59"/>
      <c r="C25" s="53"/>
      <c r="D25" s="53"/>
      <c r="E25" s="60" t="s">
        <v>184</v>
      </c>
      <c r="F25" s="61">
        <v>2</v>
      </c>
      <c r="G25" s="62" t="str">
        <f t="shared" ref="G25:G88" si="0">VLOOKUP($F25,$C$13:$D$19,2)</f>
        <v>SL-3</v>
      </c>
      <c r="H25" s="63" t="s">
        <v>304</v>
      </c>
      <c r="I25" s="63" t="s">
        <v>302</v>
      </c>
      <c r="J25" s="63" t="s">
        <v>302</v>
      </c>
      <c r="K25" s="63" t="s">
        <v>302</v>
      </c>
      <c r="L25" s="56"/>
      <c r="M25" s="57"/>
      <c r="N25" s="58"/>
      <c r="P25" s="19"/>
      <c r="W25" s="20"/>
    </row>
    <row r="26" spans="1:24" s="18" customFormat="1" ht="12.75" customHeight="1" x14ac:dyDescent="0.2">
      <c r="A26" s="64">
        <v>20</v>
      </c>
      <c r="B26" s="64" t="s">
        <v>166</v>
      </c>
      <c r="C26" s="53" t="s">
        <v>302</v>
      </c>
      <c r="D26" s="53"/>
      <c r="E26" s="54" t="s">
        <v>186</v>
      </c>
      <c r="F26" s="55">
        <v>2</v>
      </c>
      <c r="G26" s="55" t="str">
        <f t="shared" si="0"/>
        <v>SL-3</v>
      </c>
      <c r="H26" s="56" t="s">
        <v>302</v>
      </c>
      <c r="I26" s="56" t="s">
        <v>302</v>
      </c>
      <c r="J26" s="56" t="s">
        <v>353</v>
      </c>
      <c r="K26" s="56" t="s">
        <v>353</v>
      </c>
      <c r="L26" s="56" t="s">
        <v>310</v>
      </c>
      <c r="M26" s="57"/>
      <c r="N26" s="58"/>
      <c r="P26" s="19"/>
      <c r="W26" s="20"/>
    </row>
    <row r="27" spans="1:24" s="18" customFormat="1" ht="12.75" customHeight="1" x14ac:dyDescent="0.2">
      <c r="A27" s="65"/>
      <c r="B27" s="65"/>
      <c r="C27" s="53"/>
      <c r="D27" s="53"/>
      <c r="E27" s="66" t="s">
        <v>187</v>
      </c>
      <c r="F27" s="55">
        <v>2</v>
      </c>
      <c r="G27" s="55" t="str">
        <f t="shared" si="0"/>
        <v>SL-3</v>
      </c>
      <c r="H27" s="56" t="s">
        <v>302</v>
      </c>
      <c r="I27" s="56" t="s">
        <v>302</v>
      </c>
      <c r="J27" s="56" t="s">
        <v>353</v>
      </c>
      <c r="K27" s="56" t="s">
        <v>353</v>
      </c>
      <c r="L27" s="56" t="s">
        <v>310</v>
      </c>
      <c r="M27" s="57"/>
      <c r="N27" s="58"/>
      <c r="P27" s="19"/>
      <c r="W27" s="20"/>
    </row>
    <row r="28" spans="1:24" s="18" customFormat="1" ht="12.75" customHeight="1" x14ac:dyDescent="0.2">
      <c r="A28" s="65"/>
      <c r="B28" s="65"/>
      <c r="C28" s="53"/>
      <c r="D28" s="53"/>
      <c r="E28" s="66" t="s">
        <v>188</v>
      </c>
      <c r="F28" s="55">
        <v>2</v>
      </c>
      <c r="G28" s="55" t="str">
        <f t="shared" si="0"/>
        <v>SL-3</v>
      </c>
      <c r="H28" s="56" t="s">
        <v>302</v>
      </c>
      <c r="I28" s="56" t="s">
        <v>302</v>
      </c>
      <c r="J28" s="56" t="s">
        <v>302</v>
      </c>
      <c r="K28" s="56" t="s">
        <v>302</v>
      </c>
      <c r="L28" s="56"/>
      <c r="M28" s="57"/>
      <c r="N28" s="58"/>
      <c r="P28" s="19"/>
      <c r="W28" s="20"/>
    </row>
    <row r="29" spans="1:24" s="18" customFormat="1" ht="12.75" customHeight="1" x14ac:dyDescent="0.2">
      <c r="A29" s="65"/>
      <c r="B29" s="65"/>
      <c r="C29" s="53"/>
      <c r="D29" s="53"/>
      <c r="E29" s="66" t="s">
        <v>189</v>
      </c>
      <c r="F29" s="55">
        <v>2</v>
      </c>
      <c r="G29" s="55" t="str">
        <f t="shared" si="0"/>
        <v>SL-3</v>
      </c>
      <c r="H29" s="56" t="s">
        <v>304</v>
      </c>
      <c r="I29" s="56" t="s">
        <v>302</v>
      </c>
      <c r="J29" s="56" t="s">
        <v>353</v>
      </c>
      <c r="K29" s="56" t="s">
        <v>354</v>
      </c>
      <c r="L29" s="56" t="s">
        <v>311</v>
      </c>
      <c r="M29" s="57"/>
      <c r="N29" s="58"/>
      <c r="P29" s="19"/>
      <c r="W29" s="20"/>
    </row>
    <row r="30" spans="1:24" s="18" customFormat="1" ht="12.75" customHeight="1" x14ac:dyDescent="0.2">
      <c r="A30" s="65"/>
      <c r="B30" s="65"/>
      <c r="C30" s="53"/>
      <c r="D30" s="53"/>
      <c r="E30" s="66" t="s">
        <v>190</v>
      </c>
      <c r="F30" s="55">
        <v>2</v>
      </c>
      <c r="G30" s="55" t="str">
        <f t="shared" si="0"/>
        <v>SL-3</v>
      </c>
      <c r="H30" s="56" t="s">
        <v>304</v>
      </c>
      <c r="I30" s="56" t="s">
        <v>304</v>
      </c>
      <c r="J30" s="56" t="s">
        <v>302</v>
      </c>
      <c r="K30" s="56" t="s">
        <v>353</v>
      </c>
      <c r="L30" s="56" t="s">
        <v>312</v>
      </c>
      <c r="M30" s="57"/>
      <c r="N30" s="58"/>
      <c r="P30" s="19"/>
      <c r="W30" s="20"/>
    </row>
    <row r="31" spans="1:24" s="18" customFormat="1" ht="12.75" customHeight="1" x14ac:dyDescent="0.2">
      <c r="A31" s="65"/>
      <c r="B31" s="65"/>
      <c r="C31" s="53"/>
      <c r="D31" s="53"/>
      <c r="E31" s="66" t="s">
        <v>191</v>
      </c>
      <c r="F31" s="55">
        <v>3</v>
      </c>
      <c r="G31" s="55" t="str">
        <f t="shared" si="0"/>
        <v>SL-2</v>
      </c>
      <c r="H31" s="56" t="s">
        <v>304</v>
      </c>
      <c r="I31" s="56" t="s">
        <v>302</v>
      </c>
      <c r="J31" s="56" t="s">
        <v>302</v>
      </c>
      <c r="K31" s="56" t="s">
        <v>353</v>
      </c>
      <c r="L31" s="56" t="s">
        <v>312</v>
      </c>
      <c r="M31" s="57"/>
      <c r="N31" s="58"/>
      <c r="P31" s="19"/>
      <c r="W31" s="20"/>
    </row>
    <row r="32" spans="1:24" s="18" customFormat="1" ht="12.75" customHeight="1" x14ac:dyDescent="0.2">
      <c r="A32" s="65"/>
      <c r="B32" s="65"/>
      <c r="C32" s="53"/>
      <c r="D32" s="53"/>
      <c r="E32" s="66" t="s">
        <v>192</v>
      </c>
      <c r="F32" s="55">
        <v>6</v>
      </c>
      <c r="G32" s="55" t="str">
        <f t="shared" si="0"/>
        <v>SL-2</v>
      </c>
      <c r="H32" s="56" t="s">
        <v>302</v>
      </c>
      <c r="I32" s="56" t="s">
        <v>302</v>
      </c>
      <c r="J32" s="56" t="s">
        <v>353</v>
      </c>
      <c r="K32" s="56" t="s">
        <v>353</v>
      </c>
      <c r="L32" s="56" t="s">
        <v>310</v>
      </c>
      <c r="M32" s="57"/>
      <c r="N32" s="58"/>
      <c r="P32" s="19"/>
      <c r="W32" s="20"/>
    </row>
    <row r="33" spans="1:23" s="18" customFormat="1" ht="12.75" customHeight="1" thickBot="1" x14ac:dyDescent="0.25">
      <c r="A33" s="59"/>
      <c r="B33" s="59"/>
      <c r="C33" s="53"/>
      <c r="D33" s="53"/>
      <c r="E33" s="60" t="s">
        <v>193</v>
      </c>
      <c r="F33" s="61">
        <v>6</v>
      </c>
      <c r="G33" s="62" t="str">
        <f t="shared" si="0"/>
        <v>SL-2</v>
      </c>
      <c r="H33" s="63" t="s">
        <v>304</v>
      </c>
      <c r="I33" s="63" t="s">
        <v>302</v>
      </c>
      <c r="J33" s="63" t="s">
        <v>302</v>
      </c>
      <c r="K33" s="63" t="s">
        <v>302</v>
      </c>
      <c r="L33" s="56"/>
      <c r="M33" s="57"/>
      <c r="N33" s="58"/>
      <c r="P33" s="19"/>
      <c r="W33" s="20"/>
    </row>
    <row r="34" spans="1:23" s="18" customFormat="1" x14ac:dyDescent="0.2">
      <c r="A34" s="64">
        <v>30</v>
      </c>
      <c r="B34" s="65" t="s">
        <v>176</v>
      </c>
      <c r="C34" s="64" t="s">
        <v>302</v>
      </c>
      <c r="D34" s="53"/>
      <c r="E34" s="67" t="s">
        <v>194</v>
      </c>
      <c r="F34" s="55">
        <v>1</v>
      </c>
      <c r="G34" s="55" t="str">
        <f t="shared" si="0"/>
        <v>SL-3</v>
      </c>
      <c r="H34" s="56" t="s">
        <v>302</v>
      </c>
      <c r="I34" s="56" t="s">
        <v>302</v>
      </c>
      <c r="J34" s="56" t="s">
        <v>353</v>
      </c>
      <c r="K34" s="56" t="s">
        <v>353</v>
      </c>
      <c r="L34" s="56" t="s">
        <v>310</v>
      </c>
      <c r="M34" s="57"/>
      <c r="N34" s="58"/>
      <c r="P34" s="19"/>
      <c r="W34" s="20"/>
    </row>
    <row r="35" spans="1:23" s="18" customFormat="1" ht="132" customHeight="1" thickBot="1" x14ac:dyDescent="0.25">
      <c r="A35" s="59"/>
      <c r="B35" s="59"/>
      <c r="C35" s="59"/>
      <c r="D35" s="53"/>
      <c r="E35" s="60" t="s">
        <v>195</v>
      </c>
      <c r="F35" s="61">
        <v>2</v>
      </c>
      <c r="G35" s="68" t="str">
        <f t="shared" si="0"/>
        <v>SL-3</v>
      </c>
      <c r="H35" s="69" t="s">
        <v>302</v>
      </c>
      <c r="I35" s="69" t="s">
        <v>353</v>
      </c>
      <c r="J35" s="70" t="s">
        <v>355</v>
      </c>
      <c r="K35" s="70" t="s">
        <v>356</v>
      </c>
      <c r="L35" s="56" t="s">
        <v>317</v>
      </c>
      <c r="M35" s="57"/>
      <c r="N35" s="58"/>
      <c r="P35" s="19"/>
      <c r="W35" s="20"/>
    </row>
    <row r="36" spans="1:23" s="18" customFormat="1" ht="12.75" customHeight="1" x14ac:dyDescent="0.2">
      <c r="A36" s="71">
        <v>40</v>
      </c>
      <c r="B36" s="72" t="s">
        <v>154</v>
      </c>
      <c r="C36" s="53" t="s">
        <v>302</v>
      </c>
      <c r="D36" s="53"/>
      <c r="E36" s="67" t="s">
        <v>194</v>
      </c>
      <c r="F36" s="55">
        <v>1</v>
      </c>
      <c r="G36" s="55" t="str">
        <f t="shared" si="0"/>
        <v>SL-3</v>
      </c>
      <c r="H36" s="56" t="s">
        <v>302</v>
      </c>
      <c r="I36" s="56" t="s">
        <v>302</v>
      </c>
      <c r="J36" s="56" t="s">
        <v>353</v>
      </c>
      <c r="K36" s="56" t="s">
        <v>353</v>
      </c>
      <c r="L36" s="56" t="s">
        <v>310</v>
      </c>
      <c r="M36" s="57"/>
      <c r="N36" s="58"/>
      <c r="P36" s="19"/>
      <c r="W36" s="20"/>
    </row>
    <row r="37" spans="1:23" s="18" customFormat="1" ht="93" customHeight="1" thickBot="1" x14ac:dyDescent="0.25">
      <c r="A37" s="73"/>
      <c r="B37" s="72"/>
      <c r="C37" s="53"/>
      <c r="D37" s="53"/>
      <c r="E37" s="60" t="s">
        <v>196</v>
      </c>
      <c r="F37" s="74">
        <v>7</v>
      </c>
      <c r="G37" s="62" t="str">
        <f t="shared" si="0"/>
        <v>SL-1</v>
      </c>
      <c r="H37" s="63" t="s">
        <v>302</v>
      </c>
      <c r="I37" s="63" t="s">
        <v>302</v>
      </c>
      <c r="J37" s="63" t="s">
        <v>353</v>
      </c>
      <c r="K37" s="63" t="s">
        <v>353</v>
      </c>
      <c r="L37" s="56" t="s">
        <v>310</v>
      </c>
      <c r="M37" s="57"/>
      <c r="N37" s="58"/>
      <c r="P37" s="19"/>
      <c r="W37" s="20"/>
    </row>
    <row r="38" spans="1:23" s="18" customFormat="1" ht="128.25" thickBot="1" x14ac:dyDescent="0.25">
      <c r="A38" s="75">
        <v>50</v>
      </c>
      <c r="B38" s="76" t="s">
        <v>197</v>
      </c>
      <c r="C38" s="76" t="s">
        <v>302</v>
      </c>
      <c r="D38" s="76"/>
      <c r="E38" s="77" t="s">
        <v>198</v>
      </c>
      <c r="F38" s="78">
        <v>0</v>
      </c>
      <c r="G38" s="78" t="e">
        <f t="shared" si="0"/>
        <v>#N/A</v>
      </c>
      <c r="H38" s="79" t="s">
        <v>305</v>
      </c>
      <c r="I38" s="79" t="s">
        <v>305</v>
      </c>
      <c r="J38" s="79" t="s">
        <v>305</v>
      </c>
      <c r="K38" s="79" t="s">
        <v>305</v>
      </c>
      <c r="L38" s="56"/>
      <c r="M38" s="57"/>
      <c r="N38" s="58"/>
      <c r="P38" s="19"/>
      <c r="W38" s="20"/>
    </row>
    <row r="39" spans="1:23" s="18" customFormat="1" ht="90" thickBot="1" x14ac:dyDescent="0.25">
      <c r="A39" s="80">
        <v>60</v>
      </c>
      <c r="B39" s="80" t="s">
        <v>145</v>
      </c>
      <c r="C39" s="80" t="s">
        <v>302</v>
      </c>
      <c r="D39" s="76"/>
      <c r="E39" s="77" t="s">
        <v>199</v>
      </c>
      <c r="F39" s="78">
        <v>4</v>
      </c>
      <c r="G39" s="78" t="str">
        <f t="shared" si="0"/>
        <v>SL-2</v>
      </c>
      <c r="H39" s="79" t="s">
        <v>304</v>
      </c>
      <c r="I39" s="79" t="s">
        <v>302</v>
      </c>
      <c r="J39" s="79" t="s">
        <v>353</v>
      </c>
      <c r="K39" s="79" t="s">
        <v>353</v>
      </c>
      <c r="L39" s="56" t="s">
        <v>310</v>
      </c>
      <c r="M39" s="57"/>
      <c r="N39" s="58"/>
      <c r="P39" s="19"/>
      <c r="W39" s="20"/>
    </row>
    <row r="40" spans="1:23" s="18" customFormat="1" ht="12.75" customHeight="1" x14ac:dyDescent="0.2">
      <c r="A40" s="64">
        <v>70</v>
      </c>
      <c r="B40" s="53" t="s">
        <v>200</v>
      </c>
      <c r="C40" s="53" t="s">
        <v>302</v>
      </c>
      <c r="D40" s="53"/>
      <c r="E40" s="67" t="s">
        <v>186</v>
      </c>
      <c r="F40" s="55">
        <v>2</v>
      </c>
      <c r="G40" s="55" t="str">
        <f t="shared" si="0"/>
        <v>SL-3</v>
      </c>
      <c r="H40" s="56" t="s">
        <v>302</v>
      </c>
      <c r="I40" s="56" t="s">
        <v>302</v>
      </c>
      <c r="J40" s="56" t="s">
        <v>353</v>
      </c>
      <c r="K40" s="56" t="s">
        <v>353</v>
      </c>
      <c r="L40" s="56" t="s">
        <v>310</v>
      </c>
      <c r="M40" s="57"/>
      <c r="N40" s="58"/>
      <c r="P40" s="19"/>
      <c r="W40" s="20"/>
    </row>
    <row r="41" spans="1:23" s="18" customFormat="1" ht="12.75" customHeight="1" x14ac:dyDescent="0.2">
      <c r="A41" s="65"/>
      <c r="B41" s="53"/>
      <c r="C41" s="53"/>
      <c r="D41" s="53"/>
      <c r="E41" s="66" t="s">
        <v>201</v>
      </c>
      <c r="F41" s="55">
        <v>3</v>
      </c>
      <c r="G41" s="55" t="str">
        <f t="shared" si="0"/>
        <v>SL-2</v>
      </c>
      <c r="H41" s="56" t="s">
        <v>302</v>
      </c>
      <c r="I41" s="56" t="s">
        <v>302</v>
      </c>
      <c r="J41" s="56" t="s">
        <v>302</v>
      </c>
      <c r="K41" s="56" t="s">
        <v>302</v>
      </c>
      <c r="L41" s="56"/>
      <c r="M41" s="57"/>
      <c r="N41" s="58"/>
      <c r="P41" s="19"/>
      <c r="W41" s="20"/>
    </row>
    <row r="42" spans="1:23" s="18" customFormat="1" x14ac:dyDescent="0.2">
      <c r="A42" s="65"/>
      <c r="B42" s="53"/>
      <c r="C42" s="53"/>
      <c r="D42" s="53"/>
      <c r="E42" s="66" t="s">
        <v>202</v>
      </c>
      <c r="F42" s="55">
        <v>7</v>
      </c>
      <c r="G42" s="55" t="str">
        <f t="shared" si="0"/>
        <v>SL-1</v>
      </c>
      <c r="H42" s="56" t="s">
        <v>302</v>
      </c>
      <c r="I42" s="56" t="s">
        <v>353</v>
      </c>
      <c r="J42" s="56" t="s">
        <v>354</v>
      </c>
      <c r="K42" s="56" t="s">
        <v>357</v>
      </c>
      <c r="L42" s="56" t="s">
        <v>329</v>
      </c>
      <c r="M42" s="57"/>
      <c r="N42" s="58"/>
      <c r="P42" s="19"/>
      <c r="W42" s="20"/>
    </row>
    <row r="43" spans="1:23" s="18" customFormat="1" ht="68.25" customHeight="1" thickBot="1" x14ac:dyDescent="0.25">
      <c r="A43" s="59"/>
      <c r="B43" s="53"/>
      <c r="C43" s="53"/>
      <c r="D43" s="53"/>
      <c r="E43" s="60" t="s">
        <v>203</v>
      </c>
      <c r="F43" s="61">
        <v>7</v>
      </c>
      <c r="G43" s="62" t="str">
        <f t="shared" si="0"/>
        <v>SL-1</v>
      </c>
      <c r="H43" s="63" t="s">
        <v>302</v>
      </c>
      <c r="I43" s="63" t="s">
        <v>302</v>
      </c>
      <c r="J43" s="63" t="s">
        <v>302</v>
      </c>
      <c r="K43" s="63" t="s">
        <v>302</v>
      </c>
      <c r="L43" s="56"/>
      <c r="M43" s="57"/>
      <c r="N43" s="58"/>
      <c r="P43" s="19"/>
      <c r="W43" s="20"/>
    </row>
    <row r="44" spans="1:23" s="18" customFormat="1" x14ac:dyDescent="0.2">
      <c r="A44" s="64">
        <v>80</v>
      </c>
      <c r="B44" s="53" t="s">
        <v>123</v>
      </c>
      <c r="C44" s="53" t="s">
        <v>302</v>
      </c>
      <c r="D44" s="53"/>
      <c r="E44" s="67" t="s">
        <v>204</v>
      </c>
      <c r="F44" s="55">
        <v>1</v>
      </c>
      <c r="G44" s="55" t="str">
        <f t="shared" si="0"/>
        <v>SL-3</v>
      </c>
      <c r="H44" s="56" t="s">
        <v>302</v>
      </c>
      <c r="I44" s="56" t="s">
        <v>302</v>
      </c>
      <c r="J44" s="56" t="s">
        <v>302</v>
      </c>
      <c r="K44" s="56" t="s">
        <v>302</v>
      </c>
      <c r="L44" s="56"/>
      <c r="M44" s="57"/>
      <c r="N44" s="58"/>
      <c r="P44" s="19"/>
      <c r="W44" s="20"/>
    </row>
    <row r="45" spans="1:23" s="18" customFormat="1" ht="12.75" customHeight="1" x14ac:dyDescent="0.2">
      <c r="A45" s="65"/>
      <c r="B45" s="53"/>
      <c r="C45" s="53"/>
      <c r="D45" s="53"/>
      <c r="E45" s="66" t="s">
        <v>205</v>
      </c>
      <c r="F45" s="55">
        <v>1</v>
      </c>
      <c r="G45" s="55" t="str">
        <f t="shared" si="0"/>
        <v>SL-3</v>
      </c>
      <c r="H45" s="56" t="s">
        <v>302</v>
      </c>
      <c r="I45" s="56" t="s">
        <v>302</v>
      </c>
      <c r="J45" s="56" t="s">
        <v>353</v>
      </c>
      <c r="K45" s="56" t="s">
        <v>353</v>
      </c>
      <c r="L45" s="81" t="s">
        <v>310</v>
      </c>
      <c r="M45" s="57"/>
      <c r="N45" s="58"/>
      <c r="P45" s="19"/>
      <c r="W45" s="20"/>
    </row>
    <row r="46" spans="1:23" s="18" customFormat="1" ht="87.75" customHeight="1" thickBot="1" x14ac:dyDescent="0.25">
      <c r="A46" s="59"/>
      <c r="B46" s="53"/>
      <c r="C46" s="53"/>
      <c r="D46" s="53"/>
      <c r="E46" s="60" t="s">
        <v>186</v>
      </c>
      <c r="F46" s="74">
        <v>2</v>
      </c>
      <c r="G46" s="62" t="str">
        <f t="shared" si="0"/>
        <v>SL-3</v>
      </c>
      <c r="H46" s="63" t="s">
        <v>302</v>
      </c>
      <c r="I46" s="63" t="s">
        <v>302</v>
      </c>
      <c r="J46" s="63" t="s">
        <v>353</v>
      </c>
      <c r="K46" s="63" t="s">
        <v>353</v>
      </c>
      <c r="L46" s="81" t="s">
        <v>310</v>
      </c>
      <c r="M46" s="57"/>
      <c r="N46" s="58"/>
      <c r="P46" s="19"/>
      <c r="W46" s="20"/>
    </row>
    <row r="47" spans="1:23" s="18" customFormat="1" ht="12.75" customHeight="1" x14ac:dyDescent="0.2">
      <c r="A47" s="64">
        <v>90</v>
      </c>
      <c r="B47" s="53" t="s">
        <v>206</v>
      </c>
      <c r="C47" s="53" t="s">
        <v>302</v>
      </c>
      <c r="D47" s="53"/>
      <c r="E47" s="67" t="s">
        <v>207</v>
      </c>
      <c r="F47" s="55">
        <v>3</v>
      </c>
      <c r="G47" s="55" t="str">
        <f t="shared" si="0"/>
        <v>SL-2</v>
      </c>
      <c r="H47" s="56" t="s">
        <v>302</v>
      </c>
      <c r="I47" s="56" t="s">
        <v>302</v>
      </c>
      <c r="J47" s="56" t="s">
        <v>353</v>
      </c>
      <c r="K47" s="56" t="s">
        <v>353</v>
      </c>
      <c r="L47" s="81" t="s">
        <v>310</v>
      </c>
      <c r="M47" s="57"/>
      <c r="N47" s="58"/>
      <c r="P47" s="19"/>
      <c r="W47" s="20"/>
    </row>
    <row r="48" spans="1:23" s="18" customFormat="1" ht="12.75" customHeight="1" x14ac:dyDescent="0.2">
      <c r="A48" s="65"/>
      <c r="B48" s="53"/>
      <c r="C48" s="53"/>
      <c r="D48" s="53"/>
      <c r="E48" s="66" t="s">
        <v>208</v>
      </c>
      <c r="F48" s="55">
        <v>3</v>
      </c>
      <c r="G48" s="55" t="str">
        <f t="shared" si="0"/>
        <v>SL-2</v>
      </c>
      <c r="H48" s="56" t="s">
        <v>302</v>
      </c>
      <c r="I48" s="56" t="s">
        <v>302</v>
      </c>
      <c r="J48" s="56" t="s">
        <v>353</v>
      </c>
      <c r="K48" s="56" t="s">
        <v>354</v>
      </c>
      <c r="L48" s="81" t="s">
        <v>311</v>
      </c>
      <c r="M48" s="57"/>
      <c r="N48" s="58"/>
      <c r="P48" s="19"/>
      <c r="W48" s="20"/>
    </row>
    <row r="49" spans="1:23" s="18" customFormat="1" ht="12.75" customHeight="1" x14ac:dyDescent="0.2">
      <c r="A49" s="65"/>
      <c r="B49" s="53"/>
      <c r="C49" s="53"/>
      <c r="D49" s="53"/>
      <c r="E49" s="66" t="s">
        <v>209</v>
      </c>
      <c r="F49" s="55">
        <v>3</v>
      </c>
      <c r="G49" s="55" t="str">
        <f t="shared" si="0"/>
        <v>SL-2</v>
      </c>
      <c r="H49" s="56" t="s">
        <v>304</v>
      </c>
      <c r="I49" s="56" t="s">
        <v>302</v>
      </c>
      <c r="J49" s="56" t="s">
        <v>353</v>
      </c>
      <c r="K49" s="56" t="s">
        <v>353</v>
      </c>
      <c r="L49" s="81" t="s">
        <v>310</v>
      </c>
      <c r="M49" s="57"/>
      <c r="N49" s="58"/>
      <c r="P49" s="19"/>
      <c r="W49" s="20"/>
    </row>
    <row r="50" spans="1:23" s="18" customFormat="1" ht="12.75" customHeight="1" x14ac:dyDescent="0.2">
      <c r="A50" s="65"/>
      <c r="B50" s="53"/>
      <c r="C50" s="53"/>
      <c r="D50" s="53"/>
      <c r="E50" s="66" t="s">
        <v>210</v>
      </c>
      <c r="F50" s="55">
        <v>3</v>
      </c>
      <c r="G50" s="55" t="str">
        <f t="shared" si="0"/>
        <v>SL-2</v>
      </c>
      <c r="H50" s="56" t="s">
        <v>302</v>
      </c>
      <c r="I50" s="56" t="s">
        <v>302</v>
      </c>
      <c r="J50" s="56" t="s">
        <v>302</v>
      </c>
      <c r="K50" s="56" t="s">
        <v>302</v>
      </c>
      <c r="L50" s="81"/>
      <c r="M50" s="57"/>
      <c r="N50" s="58"/>
      <c r="P50" s="19"/>
      <c r="W50" s="20"/>
    </row>
    <row r="51" spans="1:23" s="18" customFormat="1" ht="44.25" customHeight="1" thickBot="1" x14ac:dyDescent="0.25">
      <c r="A51" s="59"/>
      <c r="B51" s="53"/>
      <c r="C51" s="53"/>
      <c r="D51" s="53"/>
      <c r="E51" s="82" t="s">
        <v>236</v>
      </c>
      <c r="F51" s="83">
        <v>3</v>
      </c>
      <c r="G51" s="62" t="str">
        <f t="shared" si="0"/>
        <v>SL-2</v>
      </c>
      <c r="H51" s="63" t="s">
        <v>304</v>
      </c>
      <c r="I51" s="63" t="s">
        <v>302</v>
      </c>
      <c r="J51" s="63" t="s">
        <v>302</v>
      </c>
      <c r="K51" s="63" t="s">
        <v>302</v>
      </c>
      <c r="L51" s="56"/>
      <c r="M51" s="57"/>
      <c r="N51" s="58"/>
      <c r="P51" s="19"/>
      <c r="W51" s="20"/>
    </row>
    <row r="52" spans="1:23" s="18" customFormat="1" x14ac:dyDescent="0.2">
      <c r="A52" s="64">
        <v>100</v>
      </c>
      <c r="B52" s="64" t="s">
        <v>122</v>
      </c>
      <c r="C52" s="53" t="s">
        <v>302</v>
      </c>
      <c r="D52" s="53"/>
      <c r="E52" s="67" t="s">
        <v>212</v>
      </c>
      <c r="F52" s="84">
        <v>1</v>
      </c>
      <c r="G52" s="55" t="str">
        <f t="shared" si="0"/>
        <v>SL-3</v>
      </c>
      <c r="H52" s="56" t="s">
        <v>304</v>
      </c>
      <c r="I52" s="56" t="s">
        <v>302</v>
      </c>
      <c r="J52" s="56" t="s">
        <v>353</v>
      </c>
      <c r="K52" s="56" t="s">
        <v>353</v>
      </c>
      <c r="L52" s="56" t="s">
        <v>310</v>
      </c>
      <c r="M52" s="57"/>
      <c r="N52" s="58"/>
      <c r="P52" s="19"/>
      <c r="W52" s="20"/>
    </row>
    <row r="53" spans="1:23" s="18" customFormat="1" x14ac:dyDescent="0.2">
      <c r="A53" s="65"/>
      <c r="B53" s="65"/>
      <c r="C53" s="53"/>
      <c r="D53" s="53"/>
      <c r="E53" s="66" t="s">
        <v>213</v>
      </c>
      <c r="F53" s="55">
        <v>2</v>
      </c>
      <c r="G53" s="55" t="str">
        <f t="shared" si="0"/>
        <v>SL-3</v>
      </c>
      <c r="H53" s="56" t="s">
        <v>302</v>
      </c>
      <c r="I53" s="56" t="s">
        <v>302</v>
      </c>
      <c r="J53" s="56" t="s">
        <v>353</v>
      </c>
      <c r="K53" s="56" t="s">
        <v>353</v>
      </c>
      <c r="L53" s="81" t="s">
        <v>310</v>
      </c>
      <c r="M53" s="57"/>
      <c r="N53" s="58"/>
      <c r="P53" s="19"/>
      <c r="W53" s="20"/>
    </row>
    <row r="54" spans="1:23" s="18" customFormat="1" x14ac:dyDescent="0.2">
      <c r="A54" s="65"/>
      <c r="B54" s="65"/>
      <c r="C54" s="53"/>
      <c r="D54" s="53"/>
      <c r="E54" s="66" t="s">
        <v>214</v>
      </c>
      <c r="F54" s="55">
        <v>3</v>
      </c>
      <c r="G54" s="55" t="str">
        <f t="shared" si="0"/>
        <v>SL-2</v>
      </c>
      <c r="H54" s="56" t="s">
        <v>302</v>
      </c>
      <c r="I54" s="56" t="s">
        <v>353</v>
      </c>
      <c r="J54" s="56" t="s">
        <v>354</v>
      </c>
      <c r="K54" s="56" t="s">
        <v>354</v>
      </c>
      <c r="L54" s="81" t="s">
        <v>329</v>
      </c>
      <c r="M54" s="57"/>
      <c r="N54" s="58"/>
      <c r="P54" s="19"/>
      <c r="W54" s="20"/>
    </row>
    <row r="55" spans="1:23" s="18" customFormat="1" x14ac:dyDescent="0.2">
      <c r="A55" s="65"/>
      <c r="B55" s="65"/>
      <c r="C55" s="53"/>
      <c r="D55" s="53"/>
      <c r="E55" s="66" t="s">
        <v>208</v>
      </c>
      <c r="F55" s="55">
        <v>3</v>
      </c>
      <c r="G55" s="55" t="str">
        <f t="shared" si="0"/>
        <v>SL-2</v>
      </c>
      <c r="H55" s="56" t="s">
        <v>302</v>
      </c>
      <c r="I55" s="56" t="s">
        <v>302</v>
      </c>
      <c r="J55" s="56" t="s">
        <v>358</v>
      </c>
      <c r="K55" s="56" t="s">
        <v>354</v>
      </c>
      <c r="L55" s="81" t="s">
        <v>311</v>
      </c>
      <c r="M55" s="57"/>
      <c r="N55" s="58"/>
      <c r="P55" s="19"/>
      <c r="W55" s="20"/>
    </row>
    <row r="56" spans="1:23" s="18" customFormat="1" x14ac:dyDescent="0.2">
      <c r="A56" s="65"/>
      <c r="B56" s="65"/>
      <c r="C56" s="53"/>
      <c r="D56" s="53"/>
      <c r="E56" s="66" t="s">
        <v>235</v>
      </c>
      <c r="F56" s="55">
        <v>5</v>
      </c>
      <c r="G56" s="55" t="str">
        <f t="shared" si="0"/>
        <v>SL-1</v>
      </c>
      <c r="H56" s="56" t="s">
        <v>302</v>
      </c>
      <c r="I56" s="56" t="s">
        <v>302</v>
      </c>
      <c r="J56" s="56" t="s">
        <v>353</v>
      </c>
      <c r="K56" s="56" t="s">
        <v>353</v>
      </c>
      <c r="L56" s="56" t="s">
        <v>310</v>
      </c>
      <c r="M56" s="57"/>
      <c r="N56" s="58"/>
      <c r="P56" s="19"/>
      <c r="W56" s="20"/>
    </row>
    <row r="57" spans="1:23" s="18" customFormat="1" ht="36" customHeight="1" thickBot="1" x14ac:dyDescent="0.25">
      <c r="A57" s="59"/>
      <c r="B57" s="59"/>
      <c r="C57" s="53"/>
      <c r="D57" s="53"/>
      <c r="E57" s="60" t="s">
        <v>193</v>
      </c>
      <c r="F57" s="61">
        <v>6</v>
      </c>
      <c r="G57" s="62" t="str">
        <f t="shared" si="0"/>
        <v>SL-2</v>
      </c>
      <c r="H57" s="63" t="s">
        <v>304</v>
      </c>
      <c r="I57" s="63" t="s">
        <v>302</v>
      </c>
      <c r="J57" s="63" t="s">
        <v>302</v>
      </c>
      <c r="K57" s="63" t="s">
        <v>302</v>
      </c>
      <c r="L57" s="56"/>
      <c r="M57" s="57"/>
      <c r="N57" s="58"/>
      <c r="P57" s="19"/>
      <c r="W57" s="20"/>
    </row>
    <row r="58" spans="1:23" s="18" customFormat="1" x14ac:dyDescent="0.2">
      <c r="A58" s="64">
        <v>110</v>
      </c>
      <c r="B58" s="53" t="s">
        <v>110</v>
      </c>
      <c r="C58" s="64" t="s">
        <v>302</v>
      </c>
      <c r="D58" s="53"/>
      <c r="E58" s="67" t="s">
        <v>212</v>
      </c>
      <c r="F58" s="84">
        <v>1</v>
      </c>
      <c r="G58" s="55" t="str">
        <f t="shared" si="0"/>
        <v>SL-3</v>
      </c>
      <c r="H58" s="56" t="s">
        <v>304</v>
      </c>
      <c r="I58" s="56" t="s">
        <v>302</v>
      </c>
      <c r="J58" s="56" t="s">
        <v>353</v>
      </c>
      <c r="K58" s="56" t="s">
        <v>353</v>
      </c>
      <c r="L58" s="56" t="s">
        <v>310</v>
      </c>
      <c r="M58" s="57"/>
      <c r="N58" s="58"/>
      <c r="P58" s="19"/>
      <c r="W58" s="20"/>
    </row>
    <row r="59" spans="1:23" s="18" customFormat="1" ht="12.75" customHeight="1" x14ac:dyDescent="0.2">
      <c r="A59" s="65"/>
      <c r="B59" s="53"/>
      <c r="C59" s="65"/>
      <c r="D59" s="53"/>
      <c r="E59" s="66" t="s">
        <v>215</v>
      </c>
      <c r="F59" s="55">
        <v>1</v>
      </c>
      <c r="G59" s="55" t="str">
        <f t="shared" si="0"/>
        <v>SL-3</v>
      </c>
      <c r="H59" s="56" t="s">
        <v>302</v>
      </c>
      <c r="I59" s="56" t="s">
        <v>302</v>
      </c>
      <c r="J59" s="56" t="s">
        <v>353</v>
      </c>
      <c r="K59" s="56" t="s">
        <v>353</v>
      </c>
      <c r="L59" s="56" t="s">
        <v>310</v>
      </c>
      <c r="M59" s="57"/>
      <c r="N59" s="58"/>
      <c r="P59" s="19"/>
      <c r="W59" s="20"/>
    </row>
    <row r="60" spans="1:23" s="18" customFormat="1" ht="12.75" customHeight="1" x14ac:dyDescent="0.2">
      <c r="A60" s="65"/>
      <c r="B60" s="53"/>
      <c r="C60" s="65"/>
      <c r="D60" s="53"/>
      <c r="E60" s="66" t="s">
        <v>204</v>
      </c>
      <c r="F60" s="55">
        <v>1</v>
      </c>
      <c r="G60" s="55" t="str">
        <f t="shared" si="0"/>
        <v>SL-3</v>
      </c>
      <c r="H60" s="56" t="s">
        <v>302</v>
      </c>
      <c r="I60" s="56" t="s">
        <v>302</v>
      </c>
      <c r="J60" s="56" t="s">
        <v>302</v>
      </c>
      <c r="K60" s="56" t="s">
        <v>302</v>
      </c>
      <c r="L60" s="56"/>
      <c r="M60" s="57"/>
      <c r="N60" s="58"/>
      <c r="P60" s="19"/>
      <c r="W60" s="20"/>
    </row>
    <row r="61" spans="1:23" s="18" customFormat="1" ht="12.75" customHeight="1" x14ac:dyDescent="0.2">
      <c r="A61" s="65"/>
      <c r="B61" s="53"/>
      <c r="C61" s="65"/>
      <c r="D61" s="53"/>
      <c r="E61" s="66" t="s">
        <v>205</v>
      </c>
      <c r="F61" s="55">
        <v>1</v>
      </c>
      <c r="G61" s="55" t="str">
        <f t="shared" si="0"/>
        <v>SL-3</v>
      </c>
      <c r="H61" s="56" t="s">
        <v>302</v>
      </c>
      <c r="I61" s="56" t="s">
        <v>302</v>
      </c>
      <c r="J61" s="56" t="s">
        <v>353</v>
      </c>
      <c r="K61" s="56" t="s">
        <v>353</v>
      </c>
      <c r="L61" s="56" t="s">
        <v>310</v>
      </c>
      <c r="M61" s="57"/>
      <c r="N61" s="58"/>
      <c r="P61" s="19"/>
      <c r="W61" s="20"/>
    </row>
    <row r="62" spans="1:23" s="18" customFormat="1" ht="12.75" customHeight="1" x14ac:dyDescent="0.2">
      <c r="A62" s="65"/>
      <c r="B62" s="53"/>
      <c r="C62" s="65"/>
      <c r="D62" s="53"/>
      <c r="E62" s="66" t="s">
        <v>216</v>
      </c>
      <c r="F62" s="55">
        <v>1</v>
      </c>
      <c r="G62" s="55" t="str">
        <f t="shared" si="0"/>
        <v>SL-3</v>
      </c>
      <c r="H62" s="56" t="s">
        <v>302</v>
      </c>
      <c r="I62" s="56" t="s">
        <v>353</v>
      </c>
      <c r="J62" s="56" t="s">
        <v>353</v>
      </c>
      <c r="K62" s="56" t="s">
        <v>353</v>
      </c>
      <c r="L62" s="56" t="s">
        <v>334</v>
      </c>
      <c r="M62" s="57"/>
      <c r="N62" s="58"/>
      <c r="P62" s="19"/>
      <c r="W62" s="20"/>
    </row>
    <row r="63" spans="1:23" s="18" customFormat="1" ht="12.75" customHeight="1" x14ac:dyDescent="0.2">
      <c r="A63" s="65"/>
      <c r="B63" s="53"/>
      <c r="C63" s="65"/>
      <c r="D63" s="53"/>
      <c r="E63" s="66" t="s">
        <v>217</v>
      </c>
      <c r="F63" s="55">
        <v>1</v>
      </c>
      <c r="G63" s="55" t="str">
        <f t="shared" si="0"/>
        <v>SL-3</v>
      </c>
      <c r="H63" s="56" t="s">
        <v>304</v>
      </c>
      <c r="I63" s="56" t="s">
        <v>302</v>
      </c>
      <c r="J63" s="56" t="s">
        <v>302</v>
      </c>
      <c r="K63" s="56" t="s">
        <v>302</v>
      </c>
      <c r="L63" s="56"/>
      <c r="M63" s="57"/>
      <c r="N63" s="58"/>
      <c r="P63" s="19"/>
      <c r="W63" s="20"/>
    </row>
    <row r="64" spans="1:23" s="18" customFormat="1" ht="12.75" customHeight="1" x14ac:dyDescent="0.2">
      <c r="A64" s="65"/>
      <c r="B64" s="53"/>
      <c r="C64" s="65"/>
      <c r="D64" s="53"/>
      <c r="E64" s="66" t="s">
        <v>218</v>
      </c>
      <c r="F64" s="55">
        <v>1</v>
      </c>
      <c r="G64" s="55" t="str">
        <f t="shared" si="0"/>
        <v>SL-3</v>
      </c>
      <c r="H64" s="56" t="s">
        <v>304</v>
      </c>
      <c r="I64" s="56" t="s">
        <v>302</v>
      </c>
      <c r="J64" s="56" t="s">
        <v>353</v>
      </c>
      <c r="K64" s="56" t="s">
        <v>353</v>
      </c>
      <c r="L64" s="56" t="s">
        <v>310</v>
      </c>
      <c r="M64" s="57"/>
      <c r="N64" s="58"/>
      <c r="P64" s="19"/>
      <c r="W64" s="20"/>
    </row>
    <row r="65" spans="1:23" s="18" customFormat="1" ht="12.75" customHeight="1" x14ac:dyDescent="0.2">
      <c r="A65" s="65"/>
      <c r="B65" s="53"/>
      <c r="C65" s="65"/>
      <c r="D65" s="53"/>
      <c r="E65" s="66" t="s">
        <v>219</v>
      </c>
      <c r="F65" s="55">
        <v>1</v>
      </c>
      <c r="G65" s="55" t="str">
        <f t="shared" si="0"/>
        <v>SL-3</v>
      </c>
      <c r="H65" s="56" t="s">
        <v>302</v>
      </c>
      <c r="I65" s="56" t="s">
        <v>302</v>
      </c>
      <c r="J65" s="56" t="s">
        <v>302</v>
      </c>
      <c r="K65" s="56" t="s">
        <v>302</v>
      </c>
      <c r="L65" s="56"/>
      <c r="M65" s="57"/>
      <c r="N65" s="58"/>
      <c r="P65" s="19"/>
      <c r="W65" s="20"/>
    </row>
    <row r="66" spans="1:23" s="18" customFormat="1" ht="12.75" customHeight="1" x14ac:dyDescent="0.2">
      <c r="A66" s="65"/>
      <c r="B66" s="53"/>
      <c r="C66" s="65"/>
      <c r="D66" s="53"/>
      <c r="E66" s="66" t="s">
        <v>220</v>
      </c>
      <c r="F66" s="55">
        <v>1</v>
      </c>
      <c r="G66" s="55" t="str">
        <f t="shared" si="0"/>
        <v>SL-3</v>
      </c>
      <c r="H66" s="56" t="s">
        <v>302</v>
      </c>
      <c r="I66" s="56" t="s">
        <v>302</v>
      </c>
      <c r="J66" s="56" t="s">
        <v>302</v>
      </c>
      <c r="K66" s="56" t="s">
        <v>302</v>
      </c>
      <c r="L66" s="56"/>
      <c r="M66" s="57"/>
      <c r="N66" s="58"/>
      <c r="P66" s="19"/>
      <c r="W66" s="20"/>
    </row>
    <row r="67" spans="1:23" s="18" customFormat="1" ht="12.75" customHeight="1" x14ac:dyDescent="0.2">
      <c r="A67" s="65"/>
      <c r="B67" s="53"/>
      <c r="C67" s="65"/>
      <c r="D67" s="53"/>
      <c r="E67" s="66" t="s">
        <v>221</v>
      </c>
      <c r="F67" s="55">
        <v>1</v>
      </c>
      <c r="G67" s="55" t="str">
        <f t="shared" si="0"/>
        <v>SL-3</v>
      </c>
      <c r="H67" s="56" t="s">
        <v>302</v>
      </c>
      <c r="I67" s="56" t="s">
        <v>353</v>
      </c>
      <c r="J67" s="56" t="s">
        <v>353</v>
      </c>
      <c r="K67" s="56" t="s">
        <v>353</v>
      </c>
      <c r="L67" s="56" t="s">
        <v>334</v>
      </c>
      <c r="M67" s="57"/>
      <c r="N67" s="58"/>
      <c r="P67" s="19"/>
      <c r="W67" s="20"/>
    </row>
    <row r="68" spans="1:23" s="18" customFormat="1" ht="12.75" customHeight="1" thickBot="1" x14ac:dyDescent="0.25">
      <c r="A68" s="59"/>
      <c r="B68" s="53"/>
      <c r="C68" s="59"/>
      <c r="D68" s="53"/>
      <c r="E68" s="60" t="s">
        <v>222</v>
      </c>
      <c r="F68" s="61">
        <v>4</v>
      </c>
      <c r="G68" s="62" t="str">
        <f t="shared" si="0"/>
        <v>SL-2</v>
      </c>
      <c r="H68" s="63" t="s">
        <v>302</v>
      </c>
      <c r="I68" s="63" t="s">
        <v>302</v>
      </c>
      <c r="J68" s="63" t="s">
        <v>302</v>
      </c>
      <c r="K68" s="63" t="s">
        <v>302</v>
      </c>
      <c r="L68" s="56"/>
      <c r="M68" s="57"/>
      <c r="N68" s="58"/>
      <c r="P68" s="19"/>
      <c r="W68" s="20"/>
    </row>
    <row r="69" spans="1:23" s="18" customFormat="1" x14ac:dyDescent="0.2">
      <c r="A69" s="64">
        <v>120</v>
      </c>
      <c r="B69" s="53" t="s">
        <v>108</v>
      </c>
      <c r="C69" s="64" t="s">
        <v>302</v>
      </c>
      <c r="D69" s="53"/>
      <c r="E69" s="67" t="s">
        <v>223</v>
      </c>
      <c r="F69" s="84">
        <v>1</v>
      </c>
      <c r="G69" s="55" t="str">
        <f t="shared" si="0"/>
        <v>SL-3</v>
      </c>
      <c r="H69" s="56" t="s">
        <v>302</v>
      </c>
      <c r="I69" s="56" t="s">
        <v>353</v>
      </c>
      <c r="J69" s="56" t="s">
        <v>354</v>
      </c>
      <c r="K69" s="56" t="s">
        <v>365</v>
      </c>
      <c r="L69" s="56" t="s">
        <v>337</v>
      </c>
      <c r="M69" s="57"/>
      <c r="N69" s="58"/>
      <c r="P69" s="19"/>
      <c r="W69" s="20"/>
    </row>
    <row r="70" spans="1:23" s="18" customFormat="1" ht="12.75" customHeight="1" x14ac:dyDescent="0.2">
      <c r="A70" s="65"/>
      <c r="B70" s="53"/>
      <c r="C70" s="65"/>
      <c r="D70" s="53"/>
      <c r="E70" s="66" t="s">
        <v>215</v>
      </c>
      <c r="F70" s="55">
        <v>1</v>
      </c>
      <c r="G70" s="55" t="str">
        <f t="shared" si="0"/>
        <v>SL-3</v>
      </c>
      <c r="H70" s="56" t="s">
        <v>302</v>
      </c>
      <c r="I70" s="56" t="s">
        <v>302</v>
      </c>
      <c r="J70" s="56" t="s">
        <v>353</v>
      </c>
      <c r="K70" s="56" t="s">
        <v>353</v>
      </c>
      <c r="L70" s="56" t="s">
        <v>310</v>
      </c>
      <c r="M70" s="57"/>
      <c r="N70" s="58"/>
      <c r="P70" s="19"/>
      <c r="W70" s="20"/>
    </row>
    <row r="71" spans="1:23" s="18" customFormat="1" ht="12.75" customHeight="1" x14ac:dyDescent="0.2">
      <c r="A71" s="65"/>
      <c r="B71" s="53"/>
      <c r="C71" s="65"/>
      <c r="D71" s="53"/>
      <c r="E71" s="66" t="s">
        <v>204</v>
      </c>
      <c r="F71" s="55">
        <v>1</v>
      </c>
      <c r="G71" s="55" t="str">
        <f t="shared" si="0"/>
        <v>SL-3</v>
      </c>
      <c r="H71" s="56" t="s">
        <v>302</v>
      </c>
      <c r="I71" s="56" t="s">
        <v>302</v>
      </c>
      <c r="J71" s="56" t="s">
        <v>302</v>
      </c>
      <c r="K71" s="56" t="s">
        <v>302</v>
      </c>
      <c r="L71" s="56"/>
      <c r="M71" s="57"/>
      <c r="N71" s="58"/>
      <c r="P71" s="19"/>
      <c r="W71" s="20"/>
    </row>
    <row r="72" spans="1:23" s="18" customFormat="1" ht="12.75" customHeight="1" x14ac:dyDescent="0.2">
      <c r="A72" s="65"/>
      <c r="B72" s="53"/>
      <c r="C72" s="65"/>
      <c r="D72" s="53"/>
      <c r="E72" s="66" t="s">
        <v>205</v>
      </c>
      <c r="F72" s="55">
        <v>1</v>
      </c>
      <c r="G72" s="55" t="str">
        <f t="shared" si="0"/>
        <v>SL-3</v>
      </c>
      <c r="H72" s="56" t="s">
        <v>302</v>
      </c>
      <c r="I72" s="56" t="s">
        <v>302</v>
      </c>
      <c r="J72" s="56" t="s">
        <v>353</v>
      </c>
      <c r="K72" s="56" t="s">
        <v>353</v>
      </c>
      <c r="L72" s="56" t="s">
        <v>310</v>
      </c>
      <c r="M72" s="57"/>
      <c r="N72" s="58"/>
      <c r="P72" s="19"/>
      <c r="W72" s="20"/>
    </row>
    <row r="73" spans="1:23" s="18" customFormat="1" ht="12.75" customHeight="1" x14ac:dyDescent="0.2">
      <c r="A73" s="65"/>
      <c r="B73" s="53"/>
      <c r="C73" s="65"/>
      <c r="D73" s="53"/>
      <c r="E73" s="66" t="s">
        <v>216</v>
      </c>
      <c r="F73" s="55">
        <v>1</v>
      </c>
      <c r="G73" s="55" t="str">
        <f t="shared" si="0"/>
        <v>SL-3</v>
      </c>
      <c r="H73" s="56" t="s">
        <v>302</v>
      </c>
      <c r="I73" s="56" t="s">
        <v>353</v>
      </c>
      <c r="J73" s="56" t="s">
        <v>353</v>
      </c>
      <c r="K73" s="56" t="s">
        <v>353</v>
      </c>
      <c r="L73" s="56" t="s">
        <v>334</v>
      </c>
      <c r="M73" s="85"/>
      <c r="N73" s="58"/>
      <c r="P73" s="19"/>
      <c r="W73" s="20"/>
    </row>
    <row r="74" spans="1:23" s="18" customFormat="1" ht="12.75" customHeight="1" x14ac:dyDescent="0.2">
      <c r="A74" s="65"/>
      <c r="B74" s="53"/>
      <c r="C74" s="65"/>
      <c r="D74" s="53"/>
      <c r="E74" s="66" t="s">
        <v>224</v>
      </c>
      <c r="F74" s="55">
        <v>1</v>
      </c>
      <c r="G74" s="55" t="str">
        <f t="shared" si="0"/>
        <v>SL-3</v>
      </c>
      <c r="H74" s="56" t="s">
        <v>302</v>
      </c>
      <c r="I74" s="56" t="s">
        <v>302</v>
      </c>
      <c r="J74" s="56" t="s">
        <v>353</v>
      </c>
      <c r="K74" s="56" t="s">
        <v>354</v>
      </c>
      <c r="L74" s="56" t="s">
        <v>311</v>
      </c>
      <c r="M74" s="57"/>
      <c r="N74" s="58"/>
      <c r="P74" s="19"/>
      <c r="W74" s="20"/>
    </row>
    <row r="75" spans="1:23" s="18" customFormat="1" ht="12.75" customHeight="1" x14ac:dyDescent="0.2">
      <c r="A75" s="65"/>
      <c r="B75" s="53"/>
      <c r="C75" s="65"/>
      <c r="D75" s="53"/>
      <c r="E75" s="66" t="s">
        <v>217</v>
      </c>
      <c r="F75" s="55">
        <v>1</v>
      </c>
      <c r="G75" s="55" t="str">
        <f t="shared" si="0"/>
        <v>SL-3</v>
      </c>
      <c r="H75" s="56" t="s">
        <v>304</v>
      </c>
      <c r="I75" s="56" t="s">
        <v>302</v>
      </c>
      <c r="J75" s="56" t="s">
        <v>302</v>
      </c>
      <c r="K75" s="56" t="s">
        <v>302</v>
      </c>
      <c r="L75" s="56"/>
      <c r="M75" s="57"/>
      <c r="N75" s="58"/>
      <c r="P75" s="19"/>
      <c r="W75" s="20"/>
    </row>
    <row r="76" spans="1:23" s="18" customFormat="1" ht="12.75" customHeight="1" x14ac:dyDescent="0.2">
      <c r="A76" s="65"/>
      <c r="B76" s="53"/>
      <c r="C76" s="65"/>
      <c r="D76" s="53"/>
      <c r="E76" s="66" t="s">
        <v>218</v>
      </c>
      <c r="F76" s="55">
        <v>1</v>
      </c>
      <c r="G76" s="55" t="str">
        <f t="shared" si="0"/>
        <v>SL-3</v>
      </c>
      <c r="H76" s="56" t="s">
        <v>304</v>
      </c>
      <c r="I76" s="56" t="s">
        <v>302</v>
      </c>
      <c r="J76" s="56" t="s">
        <v>353</v>
      </c>
      <c r="K76" s="56" t="s">
        <v>353</v>
      </c>
      <c r="L76" s="56" t="s">
        <v>310</v>
      </c>
      <c r="M76" s="57"/>
      <c r="N76" s="58"/>
      <c r="P76" s="19"/>
      <c r="W76" s="20"/>
    </row>
    <row r="77" spans="1:23" s="18" customFormat="1" ht="12.75" customHeight="1" x14ac:dyDescent="0.2">
      <c r="A77" s="65"/>
      <c r="B77" s="53"/>
      <c r="C77" s="65"/>
      <c r="D77" s="53"/>
      <c r="E77" s="66" t="s">
        <v>219</v>
      </c>
      <c r="F77" s="55">
        <v>1</v>
      </c>
      <c r="G77" s="55" t="str">
        <f t="shared" si="0"/>
        <v>SL-3</v>
      </c>
      <c r="H77" s="56" t="s">
        <v>302</v>
      </c>
      <c r="I77" s="56" t="s">
        <v>302</v>
      </c>
      <c r="J77" s="56" t="s">
        <v>302</v>
      </c>
      <c r="K77" s="56" t="s">
        <v>302</v>
      </c>
      <c r="L77" s="56"/>
      <c r="M77" s="57"/>
      <c r="N77" s="58"/>
      <c r="P77" s="19"/>
      <c r="W77" s="20"/>
    </row>
    <row r="78" spans="1:23" s="18" customFormat="1" ht="12.75" customHeight="1" x14ac:dyDescent="0.2">
      <c r="A78" s="65"/>
      <c r="B78" s="53"/>
      <c r="C78" s="65"/>
      <c r="D78" s="53"/>
      <c r="E78" s="66" t="s">
        <v>220</v>
      </c>
      <c r="F78" s="55">
        <v>1</v>
      </c>
      <c r="G78" s="55" t="str">
        <f t="shared" si="0"/>
        <v>SL-3</v>
      </c>
      <c r="H78" s="56" t="s">
        <v>302</v>
      </c>
      <c r="I78" s="56" t="s">
        <v>302</v>
      </c>
      <c r="J78" s="56" t="s">
        <v>302</v>
      </c>
      <c r="K78" s="56" t="s">
        <v>302</v>
      </c>
      <c r="L78" s="56"/>
      <c r="M78" s="57"/>
      <c r="N78" s="58"/>
      <c r="P78" s="19"/>
      <c r="W78" s="20"/>
    </row>
    <row r="79" spans="1:23" s="18" customFormat="1" ht="12.75" customHeight="1" x14ac:dyDescent="0.2">
      <c r="A79" s="65"/>
      <c r="B79" s="53"/>
      <c r="C79" s="65"/>
      <c r="D79" s="53"/>
      <c r="E79" s="66" t="s">
        <v>221</v>
      </c>
      <c r="F79" s="55">
        <v>1</v>
      </c>
      <c r="G79" s="55" t="str">
        <f t="shared" si="0"/>
        <v>SL-3</v>
      </c>
      <c r="H79" s="56" t="s">
        <v>302</v>
      </c>
      <c r="I79" s="56" t="s">
        <v>353</v>
      </c>
      <c r="J79" s="56" t="s">
        <v>353</v>
      </c>
      <c r="K79" s="56" t="s">
        <v>353</v>
      </c>
      <c r="L79" s="56" t="s">
        <v>334</v>
      </c>
      <c r="M79" s="57"/>
      <c r="N79" s="58"/>
      <c r="P79" s="19"/>
      <c r="W79" s="20"/>
    </row>
    <row r="80" spans="1:23" s="18" customFormat="1" ht="12.75" customHeight="1" x14ac:dyDescent="0.2">
      <c r="A80" s="65"/>
      <c r="B80" s="53"/>
      <c r="C80" s="65"/>
      <c r="D80" s="53"/>
      <c r="E80" s="66" t="s">
        <v>213</v>
      </c>
      <c r="F80" s="55">
        <v>2</v>
      </c>
      <c r="G80" s="55" t="str">
        <f t="shared" si="0"/>
        <v>SL-3</v>
      </c>
      <c r="H80" s="56" t="s">
        <v>302</v>
      </c>
      <c r="I80" s="56" t="s">
        <v>302</v>
      </c>
      <c r="J80" s="56" t="s">
        <v>353</v>
      </c>
      <c r="K80" s="56" t="s">
        <v>353</v>
      </c>
      <c r="L80" s="56" t="s">
        <v>310</v>
      </c>
      <c r="M80" s="57"/>
      <c r="N80" s="58"/>
      <c r="P80" s="19"/>
      <c r="W80" s="20"/>
    </row>
    <row r="81" spans="1:23" s="18" customFormat="1" ht="12.75" customHeight="1" x14ac:dyDescent="0.2">
      <c r="A81" s="65"/>
      <c r="B81" s="53"/>
      <c r="C81" s="65"/>
      <c r="D81" s="53"/>
      <c r="E81" s="66" t="s">
        <v>186</v>
      </c>
      <c r="F81" s="55">
        <v>2</v>
      </c>
      <c r="G81" s="55" t="str">
        <f t="shared" si="0"/>
        <v>SL-3</v>
      </c>
      <c r="H81" s="56" t="s">
        <v>302</v>
      </c>
      <c r="I81" s="56" t="s">
        <v>302</v>
      </c>
      <c r="J81" s="56" t="s">
        <v>353</v>
      </c>
      <c r="K81" s="56" t="s">
        <v>353</v>
      </c>
      <c r="L81" s="56" t="s">
        <v>310</v>
      </c>
      <c r="M81" s="57"/>
      <c r="N81" s="58"/>
      <c r="P81" s="19"/>
      <c r="W81" s="20"/>
    </row>
    <row r="82" spans="1:23" s="18" customFormat="1" ht="12.75" customHeight="1" x14ac:dyDescent="0.2">
      <c r="A82" s="65"/>
      <c r="B82" s="53"/>
      <c r="C82" s="65"/>
      <c r="D82" s="53"/>
      <c r="E82" s="66" t="s">
        <v>189</v>
      </c>
      <c r="F82" s="55">
        <v>2</v>
      </c>
      <c r="G82" s="55" t="str">
        <f t="shared" si="0"/>
        <v>SL-3</v>
      </c>
      <c r="H82" s="56" t="s">
        <v>304</v>
      </c>
      <c r="I82" s="56" t="s">
        <v>302</v>
      </c>
      <c r="J82" s="56" t="s">
        <v>353</v>
      </c>
      <c r="K82" s="56" t="s">
        <v>353</v>
      </c>
      <c r="L82" s="56" t="s">
        <v>311</v>
      </c>
      <c r="M82" s="57"/>
      <c r="N82" s="58"/>
      <c r="P82" s="19"/>
      <c r="W82" s="20"/>
    </row>
    <row r="83" spans="1:23" s="18" customFormat="1" ht="12.75" customHeight="1" x14ac:dyDescent="0.2">
      <c r="A83" s="65"/>
      <c r="B83" s="53"/>
      <c r="C83" s="65"/>
      <c r="D83" s="53"/>
      <c r="E83" s="66" t="s">
        <v>190</v>
      </c>
      <c r="F83" s="55">
        <v>2</v>
      </c>
      <c r="G83" s="55" t="str">
        <f t="shared" si="0"/>
        <v>SL-3</v>
      </c>
      <c r="H83" s="56" t="s">
        <v>304</v>
      </c>
      <c r="I83" s="56" t="s">
        <v>304</v>
      </c>
      <c r="J83" s="56" t="s">
        <v>302</v>
      </c>
      <c r="K83" s="56" t="s">
        <v>302</v>
      </c>
      <c r="L83" s="56" t="s">
        <v>312</v>
      </c>
      <c r="M83" s="57"/>
      <c r="N83" s="58"/>
      <c r="P83" s="19"/>
      <c r="W83" s="20"/>
    </row>
    <row r="84" spans="1:23" s="18" customFormat="1" ht="12.75" customHeight="1" x14ac:dyDescent="0.2">
      <c r="A84" s="65"/>
      <c r="B84" s="53"/>
      <c r="C84" s="65"/>
      <c r="D84" s="53"/>
      <c r="E84" s="66" t="s">
        <v>225</v>
      </c>
      <c r="F84" s="55">
        <v>4</v>
      </c>
      <c r="G84" s="55" t="str">
        <f t="shared" si="0"/>
        <v>SL-2</v>
      </c>
      <c r="H84" s="56" t="s">
        <v>302</v>
      </c>
      <c r="I84" s="56" t="s">
        <v>353</v>
      </c>
      <c r="J84" s="56" t="s">
        <v>353</v>
      </c>
      <c r="K84" s="56" t="s">
        <v>354</v>
      </c>
      <c r="L84" s="56" t="s">
        <v>338</v>
      </c>
      <c r="M84" s="57"/>
      <c r="N84" s="58"/>
      <c r="P84" s="19"/>
      <c r="W84" s="20"/>
    </row>
    <row r="85" spans="1:23" s="18" customFormat="1" ht="12.75" customHeight="1" x14ac:dyDescent="0.2">
      <c r="A85" s="65"/>
      <c r="B85" s="53"/>
      <c r="C85" s="65"/>
      <c r="D85" s="53"/>
      <c r="E85" s="66" t="s">
        <v>222</v>
      </c>
      <c r="F85" s="55">
        <v>4</v>
      </c>
      <c r="G85" s="55" t="str">
        <f t="shared" si="0"/>
        <v>SL-2</v>
      </c>
      <c r="H85" s="56" t="s">
        <v>302</v>
      </c>
      <c r="I85" s="56" t="s">
        <v>302</v>
      </c>
      <c r="J85" s="56" t="s">
        <v>302</v>
      </c>
      <c r="K85" s="56" t="s">
        <v>302</v>
      </c>
      <c r="L85" s="56"/>
      <c r="M85" s="57"/>
      <c r="N85" s="58"/>
      <c r="P85" s="19"/>
      <c r="W85" s="20"/>
    </row>
    <row r="86" spans="1:23" s="18" customFormat="1" ht="12.75" customHeight="1" x14ac:dyDescent="0.2">
      <c r="A86" s="65"/>
      <c r="B86" s="53"/>
      <c r="C86" s="65"/>
      <c r="D86" s="53"/>
      <c r="E86" s="66" t="s">
        <v>193</v>
      </c>
      <c r="F86" s="74">
        <v>6</v>
      </c>
      <c r="G86" s="55" t="str">
        <f t="shared" si="0"/>
        <v>SL-2</v>
      </c>
      <c r="H86" s="56" t="s">
        <v>304</v>
      </c>
      <c r="I86" s="56" t="s">
        <v>302</v>
      </c>
      <c r="J86" s="56" t="s">
        <v>302</v>
      </c>
      <c r="K86" s="56" t="s">
        <v>302</v>
      </c>
      <c r="L86" s="56"/>
      <c r="M86" s="57"/>
      <c r="N86" s="58"/>
      <c r="P86" s="19"/>
      <c r="W86" s="20"/>
    </row>
    <row r="87" spans="1:23" s="18" customFormat="1" ht="12.75" customHeight="1" thickBot="1" x14ac:dyDescent="0.25">
      <c r="A87" s="59"/>
      <c r="B87" s="53"/>
      <c r="C87" s="59"/>
      <c r="D87" s="53"/>
      <c r="E87" s="82" t="s">
        <v>234</v>
      </c>
      <c r="F87" s="83">
        <v>1</v>
      </c>
      <c r="G87" s="62" t="str">
        <f t="shared" si="0"/>
        <v>SL-3</v>
      </c>
      <c r="H87" s="63" t="s">
        <v>302</v>
      </c>
      <c r="I87" s="63" t="s">
        <v>302</v>
      </c>
      <c r="J87" s="63" t="s">
        <v>302</v>
      </c>
      <c r="K87" s="63" t="s">
        <v>302</v>
      </c>
      <c r="L87" s="56"/>
      <c r="M87" s="57"/>
      <c r="N87" s="58"/>
      <c r="P87" s="19"/>
      <c r="W87" s="20"/>
    </row>
    <row r="88" spans="1:23" s="18" customFormat="1" x14ac:dyDescent="0.2">
      <c r="A88" s="64">
        <v>130</v>
      </c>
      <c r="B88" s="53" t="s">
        <v>93</v>
      </c>
      <c r="C88" s="64" t="s">
        <v>302</v>
      </c>
      <c r="D88" s="53"/>
      <c r="E88" s="67" t="s">
        <v>223</v>
      </c>
      <c r="F88" s="84">
        <v>1</v>
      </c>
      <c r="G88" s="55" t="str">
        <f t="shared" si="0"/>
        <v>SL-3</v>
      </c>
      <c r="H88" s="56" t="s">
        <v>302</v>
      </c>
      <c r="I88" s="56" t="s">
        <v>353</v>
      </c>
      <c r="J88" s="56" t="s">
        <v>354</v>
      </c>
      <c r="K88" s="56" t="s">
        <v>365</v>
      </c>
      <c r="L88" s="56" t="s">
        <v>337</v>
      </c>
      <c r="M88" s="57"/>
      <c r="N88" s="58"/>
      <c r="P88" s="19"/>
      <c r="W88" s="20"/>
    </row>
    <row r="89" spans="1:23" s="18" customFormat="1" ht="12.75" customHeight="1" x14ac:dyDescent="0.2">
      <c r="A89" s="65"/>
      <c r="B89" s="53"/>
      <c r="C89" s="65"/>
      <c r="D89" s="53"/>
      <c r="E89" s="66" t="s">
        <v>215</v>
      </c>
      <c r="F89" s="55">
        <v>1</v>
      </c>
      <c r="G89" s="55" t="str">
        <f t="shared" ref="G89:G114" si="1">VLOOKUP($F89,$C$13:$D$19,2)</f>
        <v>SL-3</v>
      </c>
      <c r="H89" s="56" t="s">
        <v>302</v>
      </c>
      <c r="I89" s="56" t="s">
        <v>302</v>
      </c>
      <c r="J89" s="56" t="s">
        <v>353</v>
      </c>
      <c r="K89" s="56" t="s">
        <v>353</v>
      </c>
      <c r="L89" s="56" t="s">
        <v>310</v>
      </c>
      <c r="M89" s="57"/>
      <c r="N89" s="58"/>
      <c r="P89" s="19"/>
      <c r="W89" s="20"/>
    </row>
    <row r="90" spans="1:23" s="18" customFormat="1" ht="12.75" customHeight="1" x14ac:dyDescent="0.2">
      <c r="A90" s="65"/>
      <c r="B90" s="53"/>
      <c r="C90" s="65"/>
      <c r="D90" s="53"/>
      <c r="E90" s="66" t="s">
        <v>205</v>
      </c>
      <c r="F90" s="55">
        <v>1</v>
      </c>
      <c r="G90" s="55" t="str">
        <f t="shared" si="1"/>
        <v>SL-3</v>
      </c>
      <c r="H90" s="56" t="s">
        <v>302</v>
      </c>
      <c r="I90" s="56" t="s">
        <v>302</v>
      </c>
      <c r="J90" s="56" t="s">
        <v>353</v>
      </c>
      <c r="K90" s="56" t="s">
        <v>353</v>
      </c>
      <c r="L90" s="56" t="s">
        <v>310</v>
      </c>
      <c r="M90" s="57"/>
      <c r="N90" s="58"/>
      <c r="P90" s="19"/>
      <c r="W90" s="20"/>
    </row>
    <row r="91" spans="1:23" s="18" customFormat="1" ht="12.75" customHeight="1" x14ac:dyDescent="0.2">
      <c r="A91" s="65"/>
      <c r="B91" s="53"/>
      <c r="C91" s="65"/>
      <c r="D91" s="53"/>
      <c r="E91" s="66" t="s">
        <v>225</v>
      </c>
      <c r="F91" s="55">
        <v>4</v>
      </c>
      <c r="G91" s="55" t="str">
        <f t="shared" si="1"/>
        <v>SL-2</v>
      </c>
      <c r="H91" s="56" t="s">
        <v>302</v>
      </c>
      <c r="I91" s="56" t="s">
        <v>353</v>
      </c>
      <c r="J91" s="56" t="s">
        <v>353</v>
      </c>
      <c r="K91" s="56" t="s">
        <v>354</v>
      </c>
      <c r="L91" s="56" t="s">
        <v>338</v>
      </c>
      <c r="M91" s="57"/>
      <c r="N91" s="58"/>
      <c r="P91" s="19"/>
      <c r="W91" s="20"/>
    </row>
    <row r="92" spans="1:23" s="18" customFormat="1" ht="65.25" customHeight="1" thickBot="1" x14ac:dyDescent="0.25">
      <c r="A92" s="59"/>
      <c r="B92" s="53"/>
      <c r="C92" s="59"/>
      <c r="D92" s="53"/>
      <c r="E92" s="60" t="s">
        <v>226</v>
      </c>
      <c r="F92" s="61">
        <v>7</v>
      </c>
      <c r="G92" s="62" t="str">
        <f t="shared" si="1"/>
        <v>SL-1</v>
      </c>
      <c r="H92" s="63" t="s">
        <v>302</v>
      </c>
      <c r="I92" s="63" t="s">
        <v>302</v>
      </c>
      <c r="J92" s="63" t="s">
        <v>302</v>
      </c>
      <c r="K92" s="63" t="s">
        <v>302</v>
      </c>
      <c r="L92" s="56"/>
      <c r="M92" s="57"/>
      <c r="N92" s="58"/>
      <c r="P92" s="19"/>
      <c r="W92" s="20"/>
    </row>
    <row r="93" spans="1:23" s="18" customFormat="1" ht="115.5" thickBot="1" x14ac:dyDescent="0.25">
      <c r="A93" s="80">
        <v>140</v>
      </c>
      <c r="B93" s="80" t="s">
        <v>78</v>
      </c>
      <c r="C93" s="80" t="s">
        <v>302</v>
      </c>
      <c r="D93" s="76"/>
      <c r="E93" s="77" t="s">
        <v>199</v>
      </c>
      <c r="F93" s="78">
        <v>4</v>
      </c>
      <c r="G93" s="78" t="str">
        <f t="shared" si="1"/>
        <v>SL-2</v>
      </c>
      <c r="H93" s="79" t="s">
        <v>304</v>
      </c>
      <c r="I93" s="79" t="s">
        <v>302</v>
      </c>
      <c r="J93" s="79" t="s">
        <v>353</v>
      </c>
      <c r="K93" s="79" t="s">
        <v>353</v>
      </c>
      <c r="L93" s="56" t="s">
        <v>310</v>
      </c>
      <c r="M93" s="57"/>
      <c r="N93" s="58"/>
      <c r="P93" s="19"/>
      <c r="W93" s="20"/>
    </row>
    <row r="94" spans="1:23" s="18" customFormat="1" ht="25.5" x14ac:dyDescent="0.2">
      <c r="A94" s="64">
        <v>150</v>
      </c>
      <c r="B94" s="64" t="s">
        <v>62</v>
      </c>
      <c r="C94" s="64" t="s">
        <v>302</v>
      </c>
      <c r="D94" s="53"/>
      <c r="E94" s="67" t="s">
        <v>227</v>
      </c>
      <c r="F94" s="55">
        <v>2</v>
      </c>
      <c r="G94" s="55" t="str">
        <f t="shared" si="1"/>
        <v>SL-3</v>
      </c>
      <c r="H94" s="56" t="s">
        <v>302</v>
      </c>
      <c r="I94" s="56" t="s">
        <v>354</v>
      </c>
      <c r="J94" s="56" t="s">
        <v>359</v>
      </c>
      <c r="K94" s="54" t="s">
        <v>360</v>
      </c>
      <c r="L94" s="56" t="s">
        <v>317</v>
      </c>
      <c r="M94" s="57"/>
      <c r="N94" s="58"/>
      <c r="P94" s="19"/>
      <c r="W94" s="20"/>
    </row>
    <row r="95" spans="1:23" s="18" customFormat="1" ht="12.75" customHeight="1" x14ac:dyDescent="0.2">
      <c r="A95" s="65"/>
      <c r="B95" s="65"/>
      <c r="C95" s="65"/>
      <c r="D95" s="53"/>
      <c r="E95" s="66" t="s">
        <v>228</v>
      </c>
      <c r="F95" s="55">
        <v>2</v>
      </c>
      <c r="G95" s="55" t="str">
        <f t="shared" si="1"/>
        <v>SL-3</v>
      </c>
      <c r="H95" s="56" t="s">
        <v>302</v>
      </c>
      <c r="I95" s="56" t="s">
        <v>302</v>
      </c>
      <c r="J95" s="56" t="s">
        <v>353</v>
      </c>
      <c r="K95" s="56" t="s">
        <v>353</v>
      </c>
      <c r="L95" s="56" t="s">
        <v>310</v>
      </c>
      <c r="M95" s="57"/>
      <c r="N95" s="58"/>
      <c r="P95" s="19"/>
      <c r="W95" s="20"/>
    </row>
    <row r="96" spans="1:23" s="18" customFormat="1" ht="12.75" customHeight="1" x14ac:dyDescent="0.2">
      <c r="A96" s="65"/>
      <c r="B96" s="65"/>
      <c r="C96" s="65"/>
      <c r="D96" s="53"/>
      <c r="E96" s="66" t="s">
        <v>213</v>
      </c>
      <c r="F96" s="55">
        <v>2</v>
      </c>
      <c r="G96" s="55" t="str">
        <f t="shared" si="1"/>
        <v>SL-3</v>
      </c>
      <c r="H96" s="56" t="s">
        <v>302</v>
      </c>
      <c r="I96" s="56" t="s">
        <v>302</v>
      </c>
      <c r="J96" s="56" t="s">
        <v>353</v>
      </c>
      <c r="K96" s="56" t="s">
        <v>353</v>
      </c>
      <c r="L96" s="56" t="s">
        <v>310</v>
      </c>
      <c r="M96" s="57"/>
      <c r="N96" s="58"/>
      <c r="P96" s="19"/>
      <c r="W96" s="20"/>
    </row>
    <row r="97" spans="1:23" s="18" customFormat="1" ht="12.75" customHeight="1" x14ac:dyDescent="0.2">
      <c r="A97" s="65"/>
      <c r="B97" s="65"/>
      <c r="C97" s="65"/>
      <c r="D97" s="53"/>
      <c r="E97" s="66" t="s">
        <v>209</v>
      </c>
      <c r="F97" s="55">
        <v>3</v>
      </c>
      <c r="G97" s="55" t="str">
        <f t="shared" si="1"/>
        <v>SL-2</v>
      </c>
      <c r="H97" s="56" t="s">
        <v>304</v>
      </c>
      <c r="I97" s="56" t="s">
        <v>302</v>
      </c>
      <c r="J97" s="56" t="s">
        <v>353</v>
      </c>
      <c r="K97" s="56" t="s">
        <v>353</v>
      </c>
      <c r="L97" s="56" t="s">
        <v>310</v>
      </c>
      <c r="M97" s="57"/>
      <c r="N97" s="58"/>
      <c r="P97" s="19"/>
      <c r="W97" s="20"/>
    </row>
    <row r="98" spans="1:23" s="18" customFormat="1" x14ac:dyDescent="0.2">
      <c r="A98" s="65"/>
      <c r="B98" s="65"/>
      <c r="C98" s="65"/>
      <c r="D98" s="53"/>
      <c r="E98" s="66" t="s">
        <v>229</v>
      </c>
      <c r="F98" s="55">
        <v>5</v>
      </c>
      <c r="G98" s="55" t="str">
        <f t="shared" si="1"/>
        <v>SL-1</v>
      </c>
      <c r="H98" s="56" t="s">
        <v>302</v>
      </c>
      <c r="I98" s="56" t="s">
        <v>353</v>
      </c>
      <c r="J98" s="56" t="s">
        <v>354</v>
      </c>
      <c r="K98" s="56" t="s">
        <v>361</v>
      </c>
      <c r="L98" s="56" t="s">
        <v>337</v>
      </c>
      <c r="M98" s="57"/>
      <c r="N98" s="58"/>
      <c r="P98" s="19"/>
      <c r="W98" s="20"/>
    </row>
    <row r="99" spans="1:23" s="18" customFormat="1" x14ac:dyDescent="0.2">
      <c r="A99" s="65"/>
      <c r="B99" s="65"/>
      <c r="C99" s="65"/>
      <c r="D99" s="53"/>
      <c r="E99" s="66" t="s">
        <v>230</v>
      </c>
      <c r="F99" s="55">
        <v>5</v>
      </c>
      <c r="G99" s="55" t="str">
        <f t="shared" si="1"/>
        <v>SL-1</v>
      </c>
      <c r="H99" s="56" t="s">
        <v>302</v>
      </c>
      <c r="I99" s="56" t="s">
        <v>353</v>
      </c>
      <c r="J99" s="56" t="s">
        <v>354</v>
      </c>
      <c r="K99" s="56" t="s">
        <v>361</v>
      </c>
      <c r="L99" s="56" t="s">
        <v>337</v>
      </c>
      <c r="M99" s="57"/>
      <c r="N99" s="58"/>
      <c r="P99" s="19"/>
      <c r="W99" s="20"/>
    </row>
    <row r="100" spans="1:23" s="18" customFormat="1" x14ac:dyDescent="0.2">
      <c r="A100" s="65"/>
      <c r="B100" s="65"/>
      <c r="C100" s="65"/>
      <c r="D100" s="53"/>
      <c r="E100" s="86" t="s">
        <v>235</v>
      </c>
      <c r="F100" s="55">
        <v>5</v>
      </c>
      <c r="G100" s="55" t="str">
        <f t="shared" si="1"/>
        <v>SL-1</v>
      </c>
      <c r="H100" s="56" t="s">
        <v>302</v>
      </c>
      <c r="I100" s="56" t="s">
        <v>302</v>
      </c>
      <c r="J100" s="56" t="s">
        <v>353</v>
      </c>
      <c r="K100" s="56" t="s">
        <v>353</v>
      </c>
      <c r="L100" s="56" t="s">
        <v>310</v>
      </c>
      <c r="M100" s="57"/>
      <c r="N100" s="58"/>
      <c r="P100" s="19"/>
      <c r="W100" s="20"/>
    </row>
    <row r="101" spans="1:23" s="18" customFormat="1" ht="12.75" customHeight="1" x14ac:dyDescent="0.2">
      <c r="A101" s="65"/>
      <c r="B101" s="65"/>
      <c r="C101" s="65"/>
      <c r="D101" s="53"/>
      <c r="E101" s="87" t="s">
        <v>185</v>
      </c>
      <c r="F101" s="88">
        <v>2</v>
      </c>
      <c r="G101" s="55" t="str">
        <f t="shared" si="1"/>
        <v>SL-3</v>
      </c>
      <c r="H101" s="56" t="s">
        <v>302</v>
      </c>
      <c r="I101" s="56" t="s">
        <v>302</v>
      </c>
      <c r="J101" s="56" t="s">
        <v>353</v>
      </c>
      <c r="K101" s="56" t="s">
        <v>353</v>
      </c>
      <c r="L101" s="56" t="s">
        <v>310</v>
      </c>
      <c r="M101" s="57"/>
      <c r="N101" s="58"/>
      <c r="P101" s="19"/>
      <c r="W101" s="20"/>
    </row>
    <row r="102" spans="1:23" s="18" customFormat="1" ht="12.75" customHeight="1" x14ac:dyDescent="0.2">
      <c r="A102" s="65"/>
      <c r="B102" s="65"/>
      <c r="C102" s="65"/>
      <c r="D102" s="53"/>
      <c r="E102" s="86" t="s">
        <v>231</v>
      </c>
      <c r="F102" s="55">
        <v>5</v>
      </c>
      <c r="G102" s="55" t="str">
        <f t="shared" si="1"/>
        <v>SL-1</v>
      </c>
      <c r="H102" s="56" t="s">
        <v>302</v>
      </c>
      <c r="I102" s="56" t="s">
        <v>302</v>
      </c>
      <c r="J102" s="56" t="s">
        <v>302</v>
      </c>
      <c r="K102" s="56" t="s">
        <v>302</v>
      </c>
      <c r="L102" s="56"/>
      <c r="M102" s="57"/>
      <c r="N102" s="58"/>
      <c r="P102" s="19"/>
      <c r="W102" s="20"/>
    </row>
    <row r="103" spans="1:23" s="18" customFormat="1" ht="12.75" customHeight="1" x14ac:dyDescent="0.2">
      <c r="A103" s="65"/>
      <c r="B103" s="65"/>
      <c r="C103" s="65"/>
      <c r="D103" s="53"/>
      <c r="E103" s="89" t="s">
        <v>237</v>
      </c>
      <c r="F103" s="90">
        <v>7</v>
      </c>
      <c r="G103" s="55" t="str">
        <f t="shared" si="1"/>
        <v>SL-1</v>
      </c>
      <c r="H103" s="56" t="s">
        <v>302</v>
      </c>
      <c r="I103" s="56" t="s">
        <v>353</v>
      </c>
      <c r="J103" s="56" t="s">
        <v>354</v>
      </c>
      <c r="K103" s="56" t="s">
        <v>354</v>
      </c>
      <c r="L103" s="56" t="s">
        <v>329</v>
      </c>
      <c r="M103" s="57"/>
      <c r="N103" s="58"/>
      <c r="P103" s="19"/>
      <c r="W103" s="20"/>
    </row>
    <row r="104" spans="1:23" s="18" customFormat="1" ht="12.75" customHeight="1" x14ac:dyDescent="0.2">
      <c r="A104" s="65"/>
      <c r="B104" s="65"/>
      <c r="C104" s="65"/>
      <c r="D104" s="53"/>
      <c r="E104" s="89" t="s">
        <v>238</v>
      </c>
      <c r="F104" s="90">
        <v>7</v>
      </c>
      <c r="G104" s="55" t="str">
        <f t="shared" si="1"/>
        <v>SL-1</v>
      </c>
      <c r="H104" s="56" t="s">
        <v>302</v>
      </c>
      <c r="I104" s="56" t="s">
        <v>302</v>
      </c>
      <c r="J104" s="56" t="s">
        <v>302</v>
      </c>
      <c r="K104" s="56" t="s">
        <v>302</v>
      </c>
      <c r="L104" s="56"/>
      <c r="M104" s="57"/>
      <c r="N104" s="58"/>
      <c r="P104" s="19"/>
      <c r="W104" s="20"/>
    </row>
    <row r="105" spans="1:23" s="18" customFormat="1" ht="12.75" customHeight="1" x14ac:dyDescent="0.2">
      <c r="A105" s="65"/>
      <c r="B105" s="65"/>
      <c r="C105" s="65"/>
      <c r="D105" s="53"/>
      <c r="E105" s="87" t="s">
        <v>239</v>
      </c>
      <c r="F105" s="88">
        <v>7</v>
      </c>
      <c r="G105" s="55" t="str">
        <f t="shared" si="1"/>
        <v>SL-1</v>
      </c>
      <c r="H105" s="56" t="s">
        <v>302</v>
      </c>
      <c r="I105" s="56" t="s">
        <v>302</v>
      </c>
      <c r="J105" s="56" t="s">
        <v>302</v>
      </c>
      <c r="K105" s="56" t="s">
        <v>302</v>
      </c>
      <c r="L105" s="56"/>
      <c r="M105" s="57"/>
      <c r="N105" s="58"/>
      <c r="P105" s="19"/>
      <c r="W105" s="20"/>
    </row>
    <row r="106" spans="1:23" s="18" customFormat="1" ht="12.75" customHeight="1" thickBot="1" x14ac:dyDescent="0.25">
      <c r="A106" s="59"/>
      <c r="B106" s="59"/>
      <c r="C106" s="59"/>
      <c r="D106" s="53"/>
      <c r="E106" s="60" t="s">
        <v>226</v>
      </c>
      <c r="F106" s="61">
        <v>7</v>
      </c>
      <c r="G106" s="62" t="str">
        <f t="shared" si="1"/>
        <v>SL-1</v>
      </c>
      <c r="H106" s="63" t="s">
        <v>302</v>
      </c>
      <c r="I106" s="63" t="s">
        <v>302</v>
      </c>
      <c r="J106" s="63" t="s">
        <v>302</v>
      </c>
      <c r="K106" s="63" t="s">
        <v>302</v>
      </c>
      <c r="L106" s="56"/>
      <c r="M106" s="57"/>
      <c r="N106" s="58"/>
      <c r="P106" s="19"/>
      <c r="W106" s="20"/>
    </row>
    <row r="107" spans="1:23" s="18" customFormat="1" ht="90" thickBot="1" x14ac:dyDescent="0.25">
      <c r="A107" s="80">
        <v>160</v>
      </c>
      <c r="B107" s="80" t="s">
        <v>47</v>
      </c>
      <c r="C107" s="80" t="s">
        <v>302</v>
      </c>
      <c r="D107" s="76"/>
      <c r="E107" s="77" t="s">
        <v>198</v>
      </c>
      <c r="F107" s="78">
        <v>0</v>
      </c>
      <c r="G107" s="78" t="e">
        <f t="shared" si="1"/>
        <v>#N/A</v>
      </c>
      <c r="H107" s="79" t="s">
        <v>305</v>
      </c>
      <c r="I107" s="79" t="s">
        <v>305</v>
      </c>
      <c r="J107" s="79" t="s">
        <v>305</v>
      </c>
      <c r="K107" s="79" t="s">
        <v>305</v>
      </c>
      <c r="L107" s="56"/>
      <c r="M107" s="57"/>
      <c r="N107" s="58"/>
      <c r="P107" s="19"/>
      <c r="W107" s="20"/>
    </row>
    <row r="108" spans="1:23" s="18" customFormat="1" ht="12.75" customHeight="1" x14ac:dyDescent="0.2">
      <c r="A108" s="64">
        <v>170</v>
      </c>
      <c r="B108" s="64" t="s">
        <v>232</v>
      </c>
      <c r="C108" s="64" t="s">
        <v>304</v>
      </c>
      <c r="D108" s="53"/>
      <c r="E108" s="67" t="s">
        <v>225</v>
      </c>
      <c r="F108" s="55">
        <v>4</v>
      </c>
      <c r="G108" s="55" t="str">
        <f t="shared" si="1"/>
        <v>SL-2</v>
      </c>
      <c r="H108" s="56" t="s">
        <v>302</v>
      </c>
      <c r="I108" s="56" t="s">
        <v>353</v>
      </c>
      <c r="J108" s="56" t="s">
        <v>353</v>
      </c>
      <c r="K108" s="56" t="s">
        <v>354</v>
      </c>
      <c r="L108" s="56" t="s">
        <v>338</v>
      </c>
      <c r="M108" s="57"/>
      <c r="N108" s="58"/>
      <c r="P108" s="19"/>
      <c r="W108" s="20"/>
    </row>
    <row r="109" spans="1:23" s="18" customFormat="1" ht="145.5" customHeight="1" thickBot="1" x14ac:dyDescent="0.25">
      <c r="A109" s="59"/>
      <c r="B109" s="59"/>
      <c r="C109" s="59"/>
      <c r="D109" s="53"/>
      <c r="E109" s="60" t="s">
        <v>222</v>
      </c>
      <c r="F109" s="61">
        <v>4</v>
      </c>
      <c r="G109" s="62" t="str">
        <f t="shared" si="1"/>
        <v>SL-2</v>
      </c>
      <c r="H109" s="63" t="s">
        <v>302</v>
      </c>
      <c r="I109" s="63" t="s">
        <v>302</v>
      </c>
      <c r="J109" s="63" t="s">
        <v>302</v>
      </c>
      <c r="K109" s="63" t="s">
        <v>302</v>
      </c>
      <c r="L109" s="56"/>
      <c r="M109" s="57"/>
      <c r="N109" s="58"/>
      <c r="P109" s="19"/>
      <c r="W109" s="20"/>
    </row>
    <row r="110" spans="1:23" s="18" customFormat="1" ht="12.75" customHeight="1" x14ac:dyDescent="0.2">
      <c r="A110" s="64">
        <v>180</v>
      </c>
      <c r="B110" s="64" t="s">
        <v>7</v>
      </c>
      <c r="C110" s="64" t="s">
        <v>302</v>
      </c>
      <c r="D110" s="53"/>
      <c r="E110" s="67" t="s">
        <v>217</v>
      </c>
      <c r="F110" s="55">
        <v>1</v>
      </c>
      <c r="G110" s="55" t="str">
        <f t="shared" si="1"/>
        <v>SL-3</v>
      </c>
      <c r="H110" s="56" t="s">
        <v>304</v>
      </c>
      <c r="I110" s="56" t="s">
        <v>302</v>
      </c>
      <c r="J110" s="56" t="s">
        <v>302</v>
      </c>
      <c r="K110" s="56" t="s">
        <v>302</v>
      </c>
      <c r="L110" s="56"/>
      <c r="M110" s="57"/>
      <c r="N110" s="58"/>
      <c r="P110" s="19"/>
      <c r="W110" s="20"/>
    </row>
    <row r="111" spans="1:23" s="18" customFormat="1" ht="12.75" customHeight="1" x14ac:dyDescent="0.2">
      <c r="A111" s="65"/>
      <c r="B111" s="65"/>
      <c r="C111" s="65"/>
      <c r="D111" s="53"/>
      <c r="E111" s="66" t="s">
        <v>225</v>
      </c>
      <c r="F111" s="55">
        <v>4</v>
      </c>
      <c r="G111" s="55" t="str">
        <f t="shared" si="1"/>
        <v>SL-2</v>
      </c>
      <c r="H111" s="56" t="s">
        <v>302</v>
      </c>
      <c r="I111" s="56" t="s">
        <v>353</v>
      </c>
      <c r="J111" s="56" t="s">
        <v>353</v>
      </c>
      <c r="K111" s="56" t="s">
        <v>354</v>
      </c>
      <c r="L111" s="56" t="s">
        <v>338</v>
      </c>
      <c r="M111" s="57"/>
      <c r="N111" s="58"/>
      <c r="P111" s="19"/>
      <c r="W111" s="20"/>
    </row>
    <row r="112" spans="1:23" s="18" customFormat="1" ht="44.25" customHeight="1" thickBot="1" x14ac:dyDescent="0.25">
      <c r="A112" s="59"/>
      <c r="B112" s="59"/>
      <c r="C112" s="59"/>
      <c r="D112" s="53"/>
      <c r="E112" s="60" t="s">
        <v>222</v>
      </c>
      <c r="F112" s="61">
        <v>4</v>
      </c>
      <c r="G112" s="62" t="str">
        <f t="shared" si="1"/>
        <v>SL-2</v>
      </c>
      <c r="H112" s="63" t="s">
        <v>302</v>
      </c>
      <c r="I112" s="63" t="s">
        <v>302</v>
      </c>
      <c r="J112" s="63" t="s">
        <v>302</v>
      </c>
      <c r="K112" s="63" t="s">
        <v>302</v>
      </c>
      <c r="L112" s="56"/>
      <c r="M112" s="57"/>
      <c r="N112" s="58"/>
      <c r="P112" s="19"/>
      <c r="W112" s="20"/>
    </row>
    <row r="113" spans="1:23" s="18" customFormat="1" ht="12.75" customHeight="1" x14ac:dyDescent="0.2">
      <c r="A113" s="64">
        <v>190</v>
      </c>
      <c r="B113" s="64" t="s">
        <v>4</v>
      </c>
      <c r="C113" s="64" t="s">
        <v>302</v>
      </c>
      <c r="D113" s="53"/>
      <c r="E113" s="67" t="s">
        <v>207</v>
      </c>
      <c r="F113" s="55">
        <v>3</v>
      </c>
      <c r="G113" s="55" t="str">
        <f t="shared" si="1"/>
        <v>SL-2</v>
      </c>
      <c r="H113" s="56" t="s">
        <v>302</v>
      </c>
      <c r="I113" s="56" t="s">
        <v>302</v>
      </c>
      <c r="J113" s="56" t="s">
        <v>353</v>
      </c>
      <c r="K113" s="56" t="s">
        <v>353</v>
      </c>
      <c r="L113" s="56" t="s">
        <v>310</v>
      </c>
      <c r="M113" s="57"/>
      <c r="N113" s="58"/>
      <c r="P113" s="19"/>
      <c r="W113" s="20"/>
    </row>
    <row r="114" spans="1:23" s="18" customFormat="1" ht="60.75" customHeight="1" thickBot="1" x14ac:dyDescent="0.25">
      <c r="A114" s="59"/>
      <c r="B114" s="59"/>
      <c r="C114" s="59"/>
      <c r="D114" s="53"/>
      <c r="E114" s="60" t="s">
        <v>233</v>
      </c>
      <c r="F114" s="61">
        <v>3</v>
      </c>
      <c r="G114" s="62" t="str">
        <f t="shared" si="1"/>
        <v>SL-2</v>
      </c>
      <c r="H114" s="63" t="s">
        <v>304</v>
      </c>
      <c r="I114" s="63" t="s">
        <v>302</v>
      </c>
      <c r="J114" s="63" t="s">
        <v>354</v>
      </c>
      <c r="K114" s="63" t="s">
        <v>361</v>
      </c>
      <c r="L114" s="56" t="s">
        <v>339</v>
      </c>
      <c r="M114" s="57"/>
      <c r="N114" s="58"/>
      <c r="P114" s="19"/>
      <c r="W114" s="20"/>
    </row>
    <row r="115" spans="1:23" s="18" customFormat="1" ht="12.75" customHeight="1" x14ac:dyDescent="0.2">
      <c r="A115" s="53">
        <v>200</v>
      </c>
      <c r="B115" s="53" t="s">
        <v>242</v>
      </c>
      <c r="C115" s="53" t="s">
        <v>302</v>
      </c>
      <c r="D115" s="53"/>
      <c r="E115" s="67" t="s">
        <v>244</v>
      </c>
      <c r="F115" s="91"/>
      <c r="G115" s="55"/>
      <c r="H115" s="56"/>
      <c r="I115" s="56"/>
      <c r="J115" s="56"/>
      <c r="K115" s="56"/>
      <c r="L115" s="56"/>
      <c r="M115" s="57"/>
      <c r="N115" s="58"/>
      <c r="P115" s="19"/>
      <c r="W115" s="20"/>
    </row>
    <row r="116" spans="1:23" s="18" customFormat="1" ht="12.75" customHeight="1" x14ac:dyDescent="0.2">
      <c r="A116" s="53"/>
      <c r="B116" s="53"/>
      <c r="C116" s="53"/>
      <c r="D116" s="53"/>
      <c r="E116" s="66" t="s">
        <v>245</v>
      </c>
      <c r="F116" s="85"/>
      <c r="G116" s="55"/>
      <c r="H116" s="56"/>
      <c r="I116" s="56"/>
      <c r="J116" s="56"/>
      <c r="K116" s="56"/>
      <c r="L116" s="56"/>
      <c r="M116" s="57"/>
      <c r="N116" s="58"/>
      <c r="P116" s="19"/>
      <c r="W116" s="20"/>
    </row>
    <row r="117" spans="1:23" s="18" customFormat="1" ht="25.5" customHeight="1" x14ac:dyDescent="0.2">
      <c r="A117" s="53"/>
      <c r="B117" s="53"/>
      <c r="C117" s="53"/>
      <c r="D117" s="53"/>
      <c r="E117" s="66" t="s">
        <v>246</v>
      </c>
      <c r="F117" s="85"/>
      <c r="G117" s="55"/>
      <c r="H117" s="56"/>
      <c r="I117" s="56"/>
      <c r="J117" s="56"/>
      <c r="K117" s="56"/>
      <c r="L117" s="56"/>
      <c r="M117" s="57"/>
      <c r="N117" s="58"/>
      <c r="P117" s="19"/>
      <c r="W117" s="20"/>
    </row>
    <row r="118" spans="1:23" s="18" customFormat="1" x14ac:dyDescent="0.2">
      <c r="A118" s="53"/>
      <c r="B118" s="53"/>
      <c r="C118" s="53"/>
      <c r="D118" s="53"/>
      <c r="E118" s="66" t="s">
        <v>247</v>
      </c>
      <c r="F118" s="85"/>
      <c r="G118" s="55"/>
      <c r="H118" s="56"/>
      <c r="I118" s="56"/>
      <c r="J118" s="56"/>
      <c r="K118" s="56"/>
      <c r="L118" s="56"/>
      <c r="M118" s="57"/>
      <c r="N118" s="58"/>
      <c r="P118" s="19"/>
      <c r="W118" s="20"/>
    </row>
    <row r="119" spans="1:23" s="18" customFormat="1" x14ac:dyDescent="0.2">
      <c r="A119" s="53"/>
      <c r="B119" s="53"/>
      <c r="C119" s="53"/>
      <c r="D119" s="53"/>
      <c r="E119" s="66" t="s">
        <v>248</v>
      </c>
      <c r="F119" s="85"/>
      <c r="G119" s="55"/>
      <c r="H119" s="56"/>
      <c r="I119" s="56"/>
      <c r="J119" s="56"/>
      <c r="K119" s="56"/>
      <c r="L119" s="56"/>
      <c r="M119" s="57"/>
      <c r="N119" s="58"/>
      <c r="P119" s="19"/>
      <c r="W119" s="20"/>
    </row>
    <row r="120" spans="1:23" s="18" customFormat="1" x14ac:dyDescent="0.2">
      <c r="A120" s="53"/>
      <c r="B120" s="53"/>
      <c r="C120" s="53"/>
      <c r="D120" s="53"/>
      <c r="E120" s="66" t="s">
        <v>249</v>
      </c>
      <c r="F120" s="85"/>
      <c r="G120" s="55"/>
      <c r="H120" s="56"/>
      <c r="I120" s="56"/>
      <c r="J120" s="56"/>
      <c r="K120" s="56"/>
      <c r="L120" s="19"/>
      <c r="M120" s="57"/>
      <c r="N120" s="58"/>
      <c r="P120" s="19"/>
      <c r="W120" s="20"/>
    </row>
    <row r="121" spans="1:23" s="18" customFormat="1" x14ac:dyDescent="0.2">
      <c r="A121" s="53"/>
      <c r="B121" s="53"/>
      <c r="C121" s="53"/>
      <c r="D121" s="53"/>
      <c r="E121" s="66" t="s">
        <v>250</v>
      </c>
      <c r="F121" s="85"/>
      <c r="G121" s="55"/>
      <c r="H121" s="56"/>
      <c r="I121" s="56"/>
      <c r="J121" s="56"/>
      <c r="K121" s="56"/>
      <c r="L121" s="19"/>
      <c r="M121" s="57"/>
      <c r="N121" s="58"/>
      <c r="P121" s="19"/>
      <c r="W121" s="20"/>
    </row>
    <row r="122" spans="1:23" s="18" customFormat="1" x14ac:dyDescent="0.2">
      <c r="A122" s="53"/>
      <c r="B122" s="53"/>
      <c r="C122" s="53"/>
      <c r="D122" s="53"/>
      <c r="E122" s="66" t="s">
        <v>251</v>
      </c>
      <c r="F122" s="85"/>
      <c r="G122" s="55"/>
      <c r="H122" s="56"/>
      <c r="I122" s="56"/>
      <c r="J122" s="56"/>
      <c r="K122" s="56"/>
      <c r="L122" s="19"/>
      <c r="M122" s="57"/>
      <c r="N122" s="58"/>
      <c r="P122" s="19"/>
      <c r="W122" s="20"/>
    </row>
    <row r="123" spans="1:23" s="18" customFormat="1" x14ac:dyDescent="0.2">
      <c r="A123" s="53"/>
      <c r="B123" s="53"/>
      <c r="C123" s="53"/>
      <c r="D123" s="53"/>
      <c r="E123" s="66" t="s">
        <v>141</v>
      </c>
      <c r="F123" s="85"/>
      <c r="G123" s="55"/>
      <c r="H123" s="56"/>
      <c r="I123" s="56"/>
      <c r="J123" s="56"/>
      <c r="K123" s="56"/>
      <c r="M123" s="57"/>
      <c r="N123" s="58"/>
      <c r="P123" s="19"/>
      <c r="W123" s="20"/>
    </row>
    <row r="124" spans="1:23" s="18" customFormat="1" x14ac:dyDescent="0.2">
      <c r="A124" s="53"/>
      <c r="B124" s="53"/>
      <c r="C124" s="53"/>
      <c r="D124" s="53"/>
      <c r="E124" s="66" t="s">
        <v>252</v>
      </c>
      <c r="F124" s="85"/>
      <c r="G124" s="55"/>
      <c r="H124" s="56"/>
      <c r="I124" s="56"/>
      <c r="J124" s="56"/>
      <c r="K124" s="56"/>
      <c r="M124" s="57"/>
      <c r="N124" s="58"/>
      <c r="P124" s="19"/>
      <c r="W124" s="20"/>
    </row>
    <row r="125" spans="1:23" s="18" customFormat="1" x14ac:dyDescent="0.2">
      <c r="A125" s="53"/>
      <c r="B125" s="53"/>
      <c r="C125" s="53"/>
      <c r="D125" s="53"/>
      <c r="E125" s="66" t="s">
        <v>253</v>
      </c>
      <c r="F125" s="85"/>
      <c r="G125" s="55"/>
      <c r="H125" s="56"/>
      <c r="I125" s="56"/>
      <c r="J125" s="56"/>
      <c r="K125" s="56"/>
      <c r="M125" s="57"/>
      <c r="N125" s="58"/>
      <c r="P125" s="19"/>
      <c r="W125" s="20"/>
    </row>
    <row r="126" spans="1:23" s="18" customFormat="1" x14ac:dyDescent="0.2">
      <c r="A126" s="53"/>
      <c r="B126" s="53"/>
      <c r="C126" s="53"/>
      <c r="D126" s="53"/>
      <c r="E126" s="66" t="s">
        <v>254</v>
      </c>
      <c r="F126" s="85"/>
      <c r="G126" s="55"/>
      <c r="H126" s="56"/>
      <c r="I126" s="56"/>
      <c r="J126" s="56"/>
      <c r="K126" s="56"/>
      <c r="M126" s="57"/>
      <c r="N126" s="58"/>
      <c r="P126" s="19"/>
      <c r="W126" s="20"/>
    </row>
    <row r="127" spans="1:23" s="18" customFormat="1" x14ac:dyDescent="0.2">
      <c r="A127" s="53"/>
      <c r="B127" s="53"/>
      <c r="C127" s="53"/>
      <c r="D127" s="53"/>
      <c r="E127" s="66" t="s">
        <v>137</v>
      </c>
      <c r="F127" s="85"/>
      <c r="G127" s="55"/>
      <c r="H127" s="56"/>
      <c r="I127" s="56"/>
      <c r="J127" s="56"/>
      <c r="K127" s="56"/>
      <c r="M127" s="57"/>
      <c r="N127" s="58"/>
      <c r="P127" s="19"/>
      <c r="W127" s="20"/>
    </row>
    <row r="128" spans="1:23" s="18" customFormat="1" x14ac:dyDescent="0.2">
      <c r="A128" s="53"/>
      <c r="B128" s="53"/>
      <c r="C128" s="53"/>
      <c r="D128" s="53"/>
      <c r="E128" s="66" t="s">
        <v>136</v>
      </c>
      <c r="F128" s="85"/>
      <c r="G128" s="55"/>
      <c r="H128" s="56"/>
      <c r="I128" s="56"/>
      <c r="J128" s="56"/>
      <c r="K128" s="56"/>
      <c r="M128" s="57"/>
      <c r="N128" s="58"/>
      <c r="P128" s="19"/>
      <c r="W128" s="20"/>
    </row>
    <row r="129" spans="1:23" s="18" customFormat="1" x14ac:dyDescent="0.2">
      <c r="A129" s="53"/>
      <c r="B129" s="53"/>
      <c r="C129" s="53"/>
      <c r="D129" s="53"/>
      <c r="E129" s="66" t="s">
        <v>255</v>
      </c>
      <c r="F129" s="85"/>
      <c r="G129" s="55"/>
      <c r="H129" s="56"/>
      <c r="I129" s="56"/>
      <c r="J129" s="56"/>
      <c r="K129" s="56"/>
      <c r="M129" s="57"/>
      <c r="N129" s="58"/>
      <c r="P129" s="19"/>
      <c r="W129" s="20"/>
    </row>
    <row r="130" spans="1:23" s="18" customFormat="1" x14ac:dyDescent="0.2">
      <c r="A130" s="53"/>
      <c r="B130" s="53"/>
      <c r="C130" s="53"/>
      <c r="D130" s="53"/>
      <c r="E130" s="66" t="s">
        <v>256</v>
      </c>
      <c r="F130" s="85"/>
      <c r="G130" s="55"/>
      <c r="H130" s="56"/>
      <c r="I130" s="56"/>
      <c r="J130" s="56"/>
      <c r="K130" s="56"/>
      <c r="M130" s="57"/>
      <c r="N130" s="58"/>
      <c r="P130" s="19"/>
      <c r="W130" s="20"/>
    </row>
    <row r="131" spans="1:23" s="18" customFormat="1" x14ac:dyDescent="0.2">
      <c r="A131" s="53"/>
      <c r="B131" s="53"/>
      <c r="C131" s="53"/>
      <c r="D131" s="53"/>
      <c r="E131" s="66" t="s">
        <v>257</v>
      </c>
      <c r="F131" s="85"/>
      <c r="G131" s="55"/>
      <c r="H131" s="56"/>
      <c r="I131" s="56"/>
      <c r="J131" s="56"/>
      <c r="K131" s="56"/>
      <c r="M131" s="57"/>
      <c r="N131" s="58"/>
      <c r="P131" s="19"/>
      <c r="W131" s="20"/>
    </row>
    <row r="132" spans="1:23" s="18" customFormat="1" x14ac:dyDescent="0.2">
      <c r="A132" s="53"/>
      <c r="B132" s="53"/>
      <c r="C132" s="53"/>
      <c r="D132" s="53"/>
      <c r="E132" s="66" t="s">
        <v>258</v>
      </c>
      <c r="F132" s="85"/>
      <c r="G132" s="55"/>
      <c r="H132" s="56"/>
      <c r="I132" s="56"/>
      <c r="J132" s="56"/>
      <c r="K132" s="56"/>
      <c r="M132" s="57"/>
      <c r="N132" s="58"/>
      <c r="P132" s="19"/>
      <c r="W132" s="20"/>
    </row>
    <row r="133" spans="1:23" s="18" customFormat="1" x14ac:dyDescent="0.2">
      <c r="A133" s="53"/>
      <c r="B133" s="53"/>
      <c r="C133" s="53"/>
      <c r="D133" s="53"/>
      <c r="E133" s="66" t="s">
        <v>259</v>
      </c>
      <c r="F133" s="85"/>
      <c r="G133" s="55"/>
      <c r="H133" s="56"/>
      <c r="I133" s="56"/>
      <c r="J133" s="56"/>
      <c r="K133" s="56"/>
      <c r="M133" s="57"/>
      <c r="N133" s="58"/>
      <c r="P133" s="19"/>
      <c r="W133" s="20"/>
    </row>
    <row r="134" spans="1:23" s="18" customFormat="1" x14ac:dyDescent="0.2">
      <c r="A134" s="53"/>
      <c r="B134" s="53"/>
      <c r="C134" s="53"/>
      <c r="D134" s="53"/>
      <c r="E134" s="66" t="s">
        <v>260</v>
      </c>
      <c r="F134" s="85"/>
      <c r="G134" s="55"/>
      <c r="H134" s="56"/>
      <c r="I134" s="56"/>
      <c r="J134" s="56"/>
      <c r="K134" s="56"/>
      <c r="M134" s="57"/>
      <c r="N134" s="58"/>
      <c r="P134" s="19"/>
      <c r="W134" s="20"/>
    </row>
    <row r="135" spans="1:23" s="18" customFormat="1" x14ac:dyDescent="0.2">
      <c r="A135" s="53"/>
      <c r="B135" s="53"/>
      <c r="C135" s="53"/>
      <c r="D135" s="53"/>
      <c r="E135" s="66" t="s">
        <v>261</v>
      </c>
      <c r="F135" s="85"/>
      <c r="G135" s="55"/>
      <c r="H135" s="56"/>
      <c r="I135" s="56"/>
      <c r="J135" s="56"/>
      <c r="K135" s="56"/>
      <c r="M135" s="57"/>
      <c r="N135" s="58"/>
      <c r="P135" s="19"/>
      <c r="W135" s="20"/>
    </row>
    <row r="136" spans="1:23" s="18" customFormat="1" x14ac:dyDescent="0.2">
      <c r="A136" s="53"/>
      <c r="B136" s="53"/>
      <c r="C136" s="53"/>
      <c r="D136" s="53"/>
      <c r="E136" s="66" t="s">
        <v>262</v>
      </c>
      <c r="F136" s="85"/>
      <c r="G136" s="55"/>
      <c r="H136" s="56"/>
      <c r="I136" s="56"/>
      <c r="J136" s="56"/>
      <c r="K136" s="56"/>
      <c r="M136" s="57"/>
      <c r="N136" s="58"/>
      <c r="P136" s="19"/>
      <c r="W136" s="20"/>
    </row>
    <row r="137" spans="1:23" s="18" customFormat="1" x14ac:dyDescent="0.2">
      <c r="A137" s="53"/>
      <c r="B137" s="53"/>
      <c r="C137" s="53"/>
      <c r="D137" s="53"/>
      <c r="E137" s="66" t="s">
        <v>263</v>
      </c>
      <c r="F137" s="85"/>
      <c r="G137" s="55"/>
      <c r="H137" s="56"/>
      <c r="I137" s="56"/>
      <c r="J137" s="56"/>
      <c r="K137" s="56"/>
      <c r="M137" s="57"/>
      <c r="N137" s="58"/>
      <c r="P137" s="19"/>
      <c r="W137" s="20"/>
    </row>
    <row r="138" spans="1:23" s="18" customFormat="1" x14ac:dyDescent="0.2">
      <c r="A138" s="53"/>
      <c r="B138" s="53"/>
      <c r="C138" s="53"/>
      <c r="D138" s="53"/>
      <c r="E138" s="66" t="s">
        <v>264</v>
      </c>
      <c r="F138" s="85"/>
      <c r="G138" s="55"/>
      <c r="H138" s="56"/>
      <c r="I138" s="56"/>
      <c r="J138" s="56"/>
      <c r="K138" s="56"/>
      <c r="M138" s="57"/>
      <c r="N138" s="58"/>
      <c r="P138" s="19"/>
      <c r="W138" s="20"/>
    </row>
    <row r="139" spans="1:23" s="18" customFormat="1" x14ac:dyDescent="0.2">
      <c r="A139" s="53"/>
      <c r="B139" s="53"/>
      <c r="C139" s="53"/>
      <c r="D139" s="53"/>
      <c r="E139" s="66" t="s">
        <v>265</v>
      </c>
      <c r="F139" s="85"/>
      <c r="G139" s="55"/>
      <c r="H139" s="56"/>
      <c r="I139" s="56"/>
      <c r="J139" s="56"/>
      <c r="K139" s="56"/>
      <c r="M139" s="57"/>
      <c r="N139" s="58"/>
      <c r="P139" s="19"/>
      <c r="W139" s="20"/>
    </row>
    <row r="140" spans="1:23" s="18" customFormat="1" ht="13.5" thickBot="1" x14ac:dyDescent="0.25">
      <c r="A140" s="53"/>
      <c r="B140" s="53"/>
      <c r="C140" s="53"/>
      <c r="D140" s="53"/>
      <c r="E140" s="66" t="s">
        <v>266</v>
      </c>
      <c r="F140" s="92"/>
      <c r="G140" s="62"/>
      <c r="H140" s="63"/>
      <c r="I140" s="63"/>
      <c r="J140" s="63"/>
      <c r="K140" s="63"/>
      <c r="M140" s="57"/>
      <c r="N140" s="58"/>
      <c r="P140" s="19"/>
      <c r="W140" s="20"/>
    </row>
    <row r="141" spans="1:23" s="18" customFormat="1" ht="25.5" x14ac:dyDescent="0.2">
      <c r="A141" s="53">
        <v>210</v>
      </c>
      <c r="B141" s="53" t="s">
        <v>243</v>
      </c>
      <c r="C141" s="53" t="s">
        <v>302</v>
      </c>
      <c r="D141" s="93"/>
      <c r="E141" s="94" t="s">
        <v>401</v>
      </c>
      <c r="F141" s="91"/>
      <c r="G141" s="55"/>
      <c r="H141" s="56"/>
      <c r="I141" s="56"/>
      <c r="J141" s="56"/>
      <c r="K141" s="56"/>
      <c r="M141" s="57"/>
      <c r="N141" s="58"/>
      <c r="P141" s="19"/>
      <c r="W141" s="20"/>
    </row>
    <row r="142" spans="1:23" s="18" customFormat="1" x14ac:dyDescent="0.2">
      <c r="A142" s="53"/>
      <c r="B142" s="53"/>
      <c r="C142" s="53"/>
      <c r="D142" s="93"/>
      <c r="E142" s="95" t="s">
        <v>402</v>
      </c>
      <c r="F142" s="85"/>
      <c r="G142" s="55"/>
      <c r="H142" s="56"/>
      <c r="I142" s="56"/>
      <c r="J142" s="56"/>
      <c r="K142" s="56"/>
      <c r="M142" s="57"/>
      <c r="N142" s="58"/>
      <c r="P142" s="19"/>
      <c r="W142" s="20"/>
    </row>
    <row r="143" spans="1:23" s="18" customFormat="1" x14ac:dyDescent="0.2">
      <c r="A143" s="53"/>
      <c r="B143" s="53"/>
      <c r="C143" s="53"/>
      <c r="D143" s="93"/>
      <c r="E143" s="95" t="s">
        <v>403</v>
      </c>
      <c r="F143" s="85"/>
      <c r="G143" s="55"/>
      <c r="H143" s="56"/>
      <c r="I143" s="56"/>
      <c r="J143" s="56"/>
      <c r="K143" s="56"/>
      <c r="M143" s="57"/>
      <c r="N143" s="58"/>
      <c r="P143" s="19"/>
      <c r="W143" s="20"/>
    </row>
    <row r="144" spans="1:23" s="18" customFormat="1" x14ac:dyDescent="0.2">
      <c r="A144" s="53"/>
      <c r="B144" s="53"/>
      <c r="C144" s="53"/>
      <c r="D144" s="93"/>
      <c r="E144" s="95" t="s">
        <v>404</v>
      </c>
      <c r="F144" s="85"/>
      <c r="G144" s="55"/>
      <c r="H144" s="56"/>
      <c r="I144" s="56"/>
      <c r="J144" s="56"/>
      <c r="K144" s="56"/>
      <c r="M144" s="57"/>
      <c r="N144" s="58"/>
      <c r="P144" s="19"/>
      <c r="W144" s="20"/>
    </row>
    <row r="145" spans="1:24" s="18" customFormat="1" x14ac:dyDescent="0.2">
      <c r="A145" s="53"/>
      <c r="B145" s="53"/>
      <c r="C145" s="53"/>
      <c r="D145" s="93"/>
      <c r="E145" s="95" t="s">
        <v>406</v>
      </c>
      <c r="F145" s="85"/>
      <c r="G145" s="55"/>
      <c r="H145" s="56"/>
      <c r="I145" s="56"/>
      <c r="J145" s="56"/>
      <c r="K145" s="56"/>
      <c r="M145" s="57"/>
      <c r="N145" s="58"/>
      <c r="P145" s="19"/>
      <c r="W145" s="20"/>
    </row>
    <row r="146" spans="1:24" s="18" customFormat="1" ht="13.5" thickBot="1" x14ac:dyDescent="0.25">
      <c r="A146" s="53"/>
      <c r="B146" s="53"/>
      <c r="C146" s="53"/>
      <c r="D146" s="93"/>
      <c r="E146" s="96" t="s">
        <v>405</v>
      </c>
      <c r="F146" s="85"/>
      <c r="G146" s="55"/>
      <c r="H146" s="56"/>
      <c r="I146" s="56"/>
      <c r="J146" s="56"/>
      <c r="K146" s="56"/>
      <c r="M146" s="57"/>
      <c r="N146" s="58"/>
      <c r="P146" s="19"/>
      <c r="W146" s="20"/>
    </row>
    <row r="147" spans="1:24" s="18" customFormat="1" ht="38.25" x14ac:dyDescent="0.2">
      <c r="A147" s="53"/>
      <c r="B147" s="53"/>
      <c r="C147" s="53"/>
      <c r="D147" s="93"/>
      <c r="E147" s="94" t="s">
        <v>407</v>
      </c>
      <c r="F147" s="85"/>
      <c r="G147" s="55"/>
      <c r="H147" s="56"/>
      <c r="I147" s="56"/>
      <c r="J147" s="56"/>
      <c r="K147" s="56"/>
      <c r="M147" s="57"/>
      <c r="N147" s="58"/>
      <c r="P147" s="19"/>
      <c r="W147" s="20"/>
    </row>
    <row r="148" spans="1:24" s="18" customFormat="1" x14ac:dyDescent="0.2">
      <c r="A148" s="53"/>
      <c r="B148" s="53"/>
      <c r="C148" s="53"/>
      <c r="D148" s="93"/>
      <c r="E148" s="95" t="s">
        <v>402</v>
      </c>
      <c r="F148" s="85"/>
      <c r="G148" s="55"/>
      <c r="H148" s="56"/>
      <c r="I148" s="56"/>
      <c r="J148" s="56"/>
      <c r="K148" s="56"/>
      <c r="M148" s="57"/>
      <c r="N148" s="58"/>
      <c r="P148" s="19"/>
      <c r="W148" s="20"/>
    </row>
    <row r="149" spans="1:24" s="18" customFormat="1" x14ac:dyDescent="0.2">
      <c r="A149" s="53"/>
      <c r="B149" s="53"/>
      <c r="C149" s="53"/>
      <c r="D149" s="93"/>
      <c r="E149" s="95" t="s">
        <v>403</v>
      </c>
      <c r="F149" s="85"/>
      <c r="G149" s="55"/>
      <c r="H149" s="56"/>
      <c r="I149" s="56"/>
      <c r="J149" s="56"/>
      <c r="K149" s="56"/>
      <c r="M149" s="57"/>
      <c r="N149" s="58"/>
      <c r="P149" s="19"/>
      <c r="W149" s="20"/>
    </row>
    <row r="150" spans="1:24" s="18" customFormat="1" ht="13.5" thickBot="1" x14ac:dyDescent="0.25">
      <c r="A150" s="53"/>
      <c r="B150" s="53"/>
      <c r="C150" s="53"/>
      <c r="D150" s="93"/>
      <c r="E150" s="97" t="s">
        <v>408</v>
      </c>
      <c r="F150" s="85"/>
      <c r="G150" s="55"/>
      <c r="H150" s="56"/>
      <c r="I150" s="56"/>
      <c r="J150" s="56"/>
      <c r="K150" s="56"/>
      <c r="M150" s="57"/>
      <c r="N150" s="58"/>
      <c r="Q150" s="19"/>
      <c r="X150" s="20"/>
    </row>
    <row r="151" spans="1:24" s="18" customFormat="1" ht="39" thickBot="1" x14ac:dyDescent="0.25">
      <c r="A151" s="53"/>
      <c r="B151" s="53"/>
      <c r="C151" s="53"/>
      <c r="D151" s="93"/>
      <c r="E151" s="94" t="s">
        <v>409</v>
      </c>
      <c r="F151" s="92"/>
      <c r="G151" s="55"/>
      <c r="H151" s="56"/>
      <c r="I151" s="56"/>
      <c r="J151" s="56"/>
      <c r="K151" s="56"/>
      <c r="M151" s="57"/>
      <c r="N151" s="58"/>
      <c r="Q151" s="19"/>
      <c r="X151" s="20"/>
    </row>
    <row r="152" spans="1:24" s="18" customFormat="1" x14ac:dyDescent="0.2">
      <c r="A152" s="53"/>
      <c r="B152" s="53"/>
      <c r="C152" s="53"/>
      <c r="D152" s="93"/>
      <c r="E152" s="95" t="s">
        <v>410</v>
      </c>
      <c r="F152" s="15"/>
      <c r="G152" s="55"/>
      <c r="H152" s="56"/>
      <c r="I152" s="56"/>
      <c r="J152" s="56"/>
      <c r="K152" s="56"/>
      <c r="N152" s="15"/>
      <c r="Q152" s="19"/>
      <c r="X152" s="20"/>
    </row>
    <row r="153" spans="1:24" s="18" customFormat="1" ht="13.5" thickBot="1" x14ac:dyDescent="0.25">
      <c r="A153" s="53"/>
      <c r="B153" s="53"/>
      <c r="C153" s="53"/>
      <c r="D153" s="93"/>
      <c r="E153" s="96" t="s">
        <v>411</v>
      </c>
      <c r="F153" s="15"/>
      <c r="G153" s="55"/>
      <c r="H153" s="56"/>
      <c r="I153" s="56"/>
      <c r="J153" s="56"/>
      <c r="K153" s="56"/>
      <c r="N153" s="15"/>
      <c r="Q153" s="19"/>
      <c r="X153" s="20"/>
    </row>
    <row r="154" spans="1:24" s="18" customFormat="1" ht="38.25" x14ac:dyDescent="0.2">
      <c r="A154" s="53"/>
      <c r="B154" s="53"/>
      <c r="C154" s="53"/>
      <c r="D154" s="53"/>
      <c r="E154" s="94" t="s">
        <v>412</v>
      </c>
      <c r="F154" s="15"/>
      <c r="G154" s="55"/>
      <c r="H154" s="56"/>
      <c r="I154" s="56"/>
      <c r="J154" s="56"/>
      <c r="K154" s="56"/>
      <c r="N154" s="15"/>
      <c r="Q154" s="19"/>
      <c r="X154" s="20"/>
    </row>
    <row r="155" spans="1:24" s="18" customFormat="1" x14ac:dyDescent="0.2">
      <c r="A155" s="53"/>
      <c r="B155" s="53"/>
      <c r="C155" s="53"/>
      <c r="D155" s="53"/>
      <c r="E155" s="95" t="s">
        <v>403</v>
      </c>
      <c r="F155" s="15"/>
      <c r="G155" s="55"/>
      <c r="H155" s="56"/>
      <c r="I155" s="56"/>
      <c r="J155" s="56"/>
      <c r="K155" s="56"/>
      <c r="N155" s="15"/>
      <c r="Q155" s="19"/>
      <c r="X155" s="20"/>
    </row>
    <row r="156" spans="1:24" s="18" customFormat="1" ht="13.5" thickBot="1" x14ac:dyDescent="0.25">
      <c r="A156" s="53"/>
      <c r="B156" s="53"/>
      <c r="C156" s="53"/>
      <c r="D156" s="53"/>
      <c r="E156" s="96" t="s">
        <v>413</v>
      </c>
      <c r="F156" s="15"/>
      <c r="G156" s="55"/>
      <c r="H156" s="56"/>
      <c r="I156" s="56"/>
      <c r="J156" s="56"/>
      <c r="K156" s="56"/>
      <c r="N156" s="15"/>
      <c r="Q156" s="19"/>
      <c r="X156" s="20"/>
    </row>
    <row r="157" spans="1:24" s="18" customFormat="1" ht="51" x14ac:dyDescent="0.2">
      <c r="A157" s="53"/>
      <c r="B157" s="53"/>
      <c r="C157" s="53"/>
      <c r="D157" s="53"/>
      <c r="E157" s="98" t="s">
        <v>414</v>
      </c>
      <c r="F157" s="15"/>
      <c r="G157" s="55"/>
      <c r="H157" s="56"/>
      <c r="I157" s="56"/>
      <c r="J157" s="56"/>
      <c r="K157" s="56"/>
      <c r="N157" s="15"/>
      <c r="Q157" s="19"/>
      <c r="X157" s="20"/>
    </row>
    <row r="158" spans="1:24" s="18" customFormat="1" x14ac:dyDescent="0.2">
      <c r="A158" s="53"/>
      <c r="B158" s="53"/>
      <c r="C158" s="53"/>
      <c r="D158" s="53"/>
      <c r="E158" s="95" t="s">
        <v>420</v>
      </c>
      <c r="F158" s="15"/>
      <c r="G158" s="55"/>
      <c r="H158" s="56"/>
      <c r="I158" s="56"/>
      <c r="J158" s="56"/>
      <c r="K158" s="56"/>
      <c r="N158" s="15"/>
      <c r="Q158" s="19"/>
      <c r="X158" s="20"/>
    </row>
    <row r="159" spans="1:24" s="18" customFormat="1" x14ac:dyDescent="0.2">
      <c r="A159" s="53"/>
      <c r="B159" s="53"/>
      <c r="C159" s="53"/>
      <c r="D159" s="53"/>
      <c r="E159" s="95" t="s">
        <v>421</v>
      </c>
      <c r="F159" s="15"/>
      <c r="G159" s="55"/>
      <c r="H159" s="56"/>
      <c r="I159" s="56"/>
      <c r="J159" s="56"/>
      <c r="K159" s="56"/>
      <c r="N159" s="15"/>
      <c r="Q159" s="19"/>
      <c r="X159" s="20"/>
    </row>
    <row r="160" spans="1:24" s="18" customFormat="1" x14ac:dyDescent="0.2">
      <c r="A160" s="53"/>
      <c r="B160" s="53"/>
      <c r="C160" s="53"/>
      <c r="D160" s="53"/>
      <c r="E160" s="95" t="s">
        <v>422</v>
      </c>
      <c r="F160" s="15"/>
      <c r="G160" s="55"/>
      <c r="H160" s="56"/>
      <c r="I160" s="56"/>
      <c r="J160" s="56"/>
      <c r="K160" s="56"/>
      <c r="N160" s="15"/>
      <c r="Q160" s="19"/>
      <c r="X160" s="20"/>
    </row>
    <row r="161" spans="1:24" s="18" customFormat="1" x14ac:dyDescent="0.2">
      <c r="A161" s="53"/>
      <c r="B161" s="53"/>
      <c r="C161" s="53"/>
      <c r="D161" s="53"/>
      <c r="E161" s="95" t="s">
        <v>423</v>
      </c>
      <c r="F161" s="15"/>
      <c r="G161" s="55"/>
      <c r="H161" s="56"/>
      <c r="I161" s="56"/>
      <c r="J161" s="56"/>
      <c r="K161" s="56"/>
      <c r="N161" s="15"/>
      <c r="Q161" s="19"/>
      <c r="X161" s="20"/>
    </row>
    <row r="162" spans="1:24" s="18" customFormat="1" x14ac:dyDescent="0.2">
      <c r="A162" s="53"/>
      <c r="B162" s="53"/>
      <c r="C162" s="53"/>
      <c r="D162" s="53"/>
      <c r="E162" s="95" t="s">
        <v>424</v>
      </c>
      <c r="F162" s="15"/>
      <c r="G162" s="55"/>
      <c r="H162" s="56"/>
      <c r="I162" s="56"/>
      <c r="J162" s="56"/>
      <c r="K162" s="56"/>
      <c r="N162" s="15"/>
      <c r="Q162" s="19"/>
      <c r="X162" s="20"/>
    </row>
    <row r="163" spans="1:24" s="18" customFormat="1" ht="13.5" thickBot="1" x14ac:dyDescent="0.25">
      <c r="A163" s="53"/>
      <c r="B163" s="53"/>
      <c r="C163" s="53"/>
      <c r="D163" s="53"/>
      <c r="E163" s="96" t="s">
        <v>425</v>
      </c>
      <c r="F163" s="15"/>
      <c r="G163" s="55"/>
      <c r="H163" s="56"/>
      <c r="I163" s="56"/>
      <c r="J163" s="56"/>
      <c r="K163" s="56"/>
      <c r="N163" s="15"/>
      <c r="Q163" s="19"/>
      <c r="X163" s="20"/>
    </row>
    <row r="164" spans="1:24" s="18" customFormat="1" ht="38.25" x14ac:dyDescent="0.2">
      <c r="A164" s="53"/>
      <c r="B164" s="53"/>
      <c r="C164" s="53"/>
      <c r="D164" s="53"/>
      <c r="E164" s="98" t="s">
        <v>426</v>
      </c>
      <c r="F164" s="15"/>
      <c r="G164" s="55"/>
      <c r="H164" s="56"/>
      <c r="I164" s="56"/>
      <c r="J164" s="56"/>
      <c r="K164" s="56"/>
      <c r="N164" s="15"/>
      <c r="Q164" s="19"/>
      <c r="X164" s="20"/>
    </row>
    <row r="165" spans="1:24" s="18" customFormat="1" x14ac:dyDescent="0.2">
      <c r="A165" s="53"/>
      <c r="B165" s="53"/>
      <c r="C165" s="53"/>
      <c r="D165" s="53"/>
      <c r="E165" s="95" t="s">
        <v>427</v>
      </c>
      <c r="F165" s="15"/>
      <c r="G165" s="55"/>
      <c r="H165" s="56"/>
      <c r="I165" s="56"/>
      <c r="J165" s="56"/>
      <c r="K165" s="56"/>
      <c r="N165" s="15"/>
      <c r="Q165" s="19"/>
      <c r="X165" s="20"/>
    </row>
    <row r="166" spans="1:24" s="18" customFormat="1" x14ac:dyDescent="0.2">
      <c r="A166" s="53"/>
      <c r="B166" s="53"/>
      <c r="C166" s="53"/>
      <c r="D166" s="53"/>
      <c r="E166" s="95" t="s">
        <v>428</v>
      </c>
      <c r="F166" s="15"/>
      <c r="G166" s="55"/>
      <c r="H166" s="56"/>
      <c r="I166" s="56"/>
      <c r="J166" s="56"/>
      <c r="K166" s="56"/>
      <c r="N166" s="15"/>
      <c r="Q166" s="19"/>
      <c r="X166" s="20"/>
    </row>
    <row r="167" spans="1:24" s="18" customFormat="1" x14ac:dyDescent="0.2">
      <c r="A167" s="53"/>
      <c r="B167" s="53"/>
      <c r="C167" s="53"/>
      <c r="D167" s="53"/>
      <c r="E167" s="95" t="s">
        <v>429</v>
      </c>
      <c r="F167" s="15"/>
      <c r="G167" s="55"/>
      <c r="H167" s="56"/>
      <c r="I167" s="56"/>
      <c r="J167" s="56"/>
      <c r="K167" s="56"/>
      <c r="N167" s="15"/>
      <c r="Q167" s="19"/>
      <c r="X167" s="20"/>
    </row>
    <row r="168" spans="1:24" s="18" customFormat="1" x14ac:dyDescent="0.2">
      <c r="A168" s="53"/>
      <c r="B168" s="53"/>
      <c r="C168" s="53"/>
      <c r="D168" s="53"/>
      <c r="E168" s="95" t="s">
        <v>430</v>
      </c>
      <c r="F168" s="15"/>
      <c r="G168" s="55"/>
      <c r="H168" s="56"/>
      <c r="I168" s="56"/>
      <c r="J168" s="56"/>
      <c r="K168" s="56"/>
      <c r="N168" s="15"/>
      <c r="Q168" s="19"/>
      <c r="X168" s="20"/>
    </row>
    <row r="169" spans="1:24" s="18" customFormat="1" x14ac:dyDescent="0.2">
      <c r="A169" s="53"/>
      <c r="B169" s="53"/>
      <c r="C169" s="53"/>
      <c r="D169" s="53"/>
      <c r="E169" s="95" t="s">
        <v>431</v>
      </c>
      <c r="F169" s="15"/>
      <c r="G169" s="55"/>
      <c r="H169" s="56"/>
      <c r="I169" s="56"/>
      <c r="J169" s="56"/>
      <c r="K169" s="56"/>
      <c r="N169" s="15"/>
      <c r="Q169" s="19"/>
      <c r="X169" s="20"/>
    </row>
    <row r="170" spans="1:24" s="18" customFormat="1" ht="13.5" thickBot="1" x14ac:dyDescent="0.25">
      <c r="A170" s="53"/>
      <c r="B170" s="53"/>
      <c r="C170" s="53"/>
      <c r="D170" s="53"/>
      <c r="E170" s="96" t="s">
        <v>432</v>
      </c>
      <c r="F170" s="15"/>
      <c r="G170" s="55"/>
      <c r="H170" s="56"/>
      <c r="I170" s="56"/>
      <c r="J170" s="56"/>
      <c r="K170" s="56"/>
      <c r="N170" s="15"/>
      <c r="Q170" s="19"/>
      <c r="X170" s="20"/>
    </row>
    <row r="171" spans="1:24" s="18" customFormat="1" ht="51" x14ac:dyDescent="0.2">
      <c r="A171" s="53"/>
      <c r="B171" s="53"/>
      <c r="C171" s="53"/>
      <c r="D171" s="53"/>
      <c r="E171" s="98" t="s">
        <v>415</v>
      </c>
      <c r="F171" s="15"/>
      <c r="G171" s="55"/>
      <c r="H171" s="56"/>
      <c r="I171" s="56"/>
      <c r="J171" s="56"/>
      <c r="K171" s="56"/>
      <c r="N171" s="15"/>
      <c r="Q171" s="19"/>
      <c r="X171" s="20"/>
    </row>
    <row r="172" spans="1:24" s="18" customFormat="1" x14ac:dyDescent="0.2">
      <c r="A172" s="53"/>
      <c r="B172" s="53"/>
      <c r="C172" s="53"/>
      <c r="D172" s="53"/>
      <c r="E172" s="95" t="s">
        <v>430</v>
      </c>
      <c r="F172" s="15"/>
      <c r="G172" s="55"/>
      <c r="H172" s="56"/>
      <c r="I172" s="56"/>
      <c r="J172" s="56"/>
      <c r="K172" s="56"/>
      <c r="N172" s="15"/>
      <c r="Q172" s="19"/>
      <c r="X172" s="20"/>
    </row>
    <row r="173" spans="1:24" s="18" customFormat="1" ht="13.5" thickBot="1" x14ac:dyDescent="0.25">
      <c r="A173" s="53"/>
      <c r="B173" s="53"/>
      <c r="C173" s="53"/>
      <c r="D173" s="53"/>
      <c r="E173" s="96" t="s">
        <v>432</v>
      </c>
      <c r="F173" s="15"/>
      <c r="G173" s="55"/>
      <c r="H173" s="56"/>
      <c r="I173" s="56"/>
      <c r="J173" s="56"/>
      <c r="K173" s="56"/>
      <c r="N173" s="15"/>
      <c r="Q173" s="19"/>
      <c r="X173" s="20"/>
    </row>
    <row r="174" spans="1:24" s="18" customFormat="1" ht="51" x14ac:dyDescent="0.2">
      <c r="A174" s="53"/>
      <c r="B174" s="53"/>
      <c r="C174" s="53"/>
      <c r="D174" s="53"/>
      <c r="E174" s="98" t="s">
        <v>416</v>
      </c>
      <c r="F174" s="15"/>
      <c r="G174" s="55"/>
      <c r="H174" s="56"/>
      <c r="I174" s="56"/>
      <c r="J174" s="56"/>
      <c r="K174" s="56"/>
      <c r="N174" s="15"/>
      <c r="Q174" s="19"/>
      <c r="X174" s="20"/>
    </row>
    <row r="175" spans="1:24" s="18" customFormat="1" x14ac:dyDescent="0.2">
      <c r="A175" s="53"/>
      <c r="B175" s="53"/>
      <c r="C175" s="53"/>
      <c r="D175" s="53"/>
      <c r="E175" s="95" t="s">
        <v>404</v>
      </c>
      <c r="F175" s="15"/>
      <c r="G175" s="55"/>
      <c r="H175" s="56"/>
      <c r="I175" s="56"/>
      <c r="J175" s="56"/>
      <c r="K175" s="56"/>
      <c r="N175" s="15"/>
      <c r="Q175" s="19"/>
      <c r="X175" s="20"/>
    </row>
    <row r="176" spans="1:24" s="18" customFormat="1" x14ac:dyDescent="0.2">
      <c r="A176" s="53"/>
      <c r="B176" s="53"/>
      <c r="C176" s="53"/>
      <c r="D176" s="53"/>
      <c r="E176" s="95" t="s">
        <v>406</v>
      </c>
      <c r="F176" s="15"/>
      <c r="G176" s="55"/>
      <c r="H176" s="56"/>
      <c r="I176" s="56"/>
      <c r="J176" s="56"/>
      <c r="K176" s="56"/>
      <c r="N176" s="15"/>
      <c r="Q176" s="19"/>
      <c r="X176" s="20"/>
    </row>
    <row r="177" spans="1:24" s="18" customFormat="1" ht="13.5" thickBot="1" x14ac:dyDescent="0.25">
      <c r="A177" s="53"/>
      <c r="B177" s="53"/>
      <c r="C177" s="53"/>
      <c r="D177" s="53"/>
      <c r="E177" s="95" t="s">
        <v>405</v>
      </c>
      <c r="F177" s="15"/>
      <c r="G177" s="55"/>
      <c r="H177" s="56"/>
      <c r="I177" s="56"/>
      <c r="J177" s="56"/>
      <c r="K177" s="56"/>
      <c r="N177" s="15"/>
      <c r="Q177" s="19"/>
      <c r="X177" s="20"/>
    </row>
    <row r="178" spans="1:24" s="18" customFormat="1" ht="51" x14ac:dyDescent="0.2">
      <c r="A178" s="53"/>
      <c r="B178" s="53"/>
      <c r="C178" s="53"/>
      <c r="D178" s="53"/>
      <c r="E178" s="98" t="s">
        <v>417</v>
      </c>
      <c r="F178" s="15"/>
      <c r="G178" s="55"/>
      <c r="H178" s="56"/>
      <c r="I178" s="56"/>
      <c r="J178" s="56"/>
      <c r="K178" s="56"/>
      <c r="N178" s="15"/>
      <c r="Q178" s="19"/>
      <c r="X178" s="20"/>
    </row>
    <row r="179" spans="1:24" s="18" customFormat="1" ht="13.5" thickBot="1" x14ac:dyDescent="0.25">
      <c r="A179" s="53"/>
      <c r="B179" s="53"/>
      <c r="C179" s="53"/>
      <c r="D179" s="53"/>
      <c r="E179" s="96" t="s">
        <v>433</v>
      </c>
      <c r="F179" s="15"/>
      <c r="G179" s="55"/>
      <c r="H179" s="56"/>
      <c r="I179" s="56"/>
      <c r="J179" s="56"/>
      <c r="K179" s="56"/>
      <c r="N179" s="15"/>
      <c r="Q179" s="19"/>
      <c r="X179" s="20"/>
    </row>
    <row r="180" spans="1:24" s="18" customFormat="1" ht="51" x14ac:dyDescent="0.2">
      <c r="A180" s="53"/>
      <c r="B180" s="53"/>
      <c r="C180" s="53"/>
      <c r="D180" s="53"/>
      <c r="E180" s="98" t="s">
        <v>418</v>
      </c>
      <c r="F180" s="15"/>
      <c r="G180" s="55"/>
      <c r="H180" s="56"/>
      <c r="I180" s="56"/>
      <c r="J180" s="56"/>
      <c r="K180" s="56"/>
      <c r="N180" s="15"/>
      <c r="Q180" s="19"/>
      <c r="X180" s="20"/>
    </row>
    <row r="181" spans="1:24" s="18" customFormat="1" x14ac:dyDescent="0.2">
      <c r="A181" s="53"/>
      <c r="B181" s="53"/>
      <c r="C181" s="53"/>
      <c r="D181" s="53"/>
      <c r="E181" s="95" t="s">
        <v>430</v>
      </c>
      <c r="F181" s="15"/>
      <c r="G181" s="55"/>
      <c r="H181" s="56"/>
      <c r="I181" s="56"/>
      <c r="J181" s="56"/>
      <c r="K181" s="56"/>
      <c r="N181" s="15"/>
      <c r="Q181" s="19"/>
      <c r="X181" s="20"/>
    </row>
    <row r="182" spans="1:24" s="18" customFormat="1" ht="13.5" thickBot="1" x14ac:dyDescent="0.25">
      <c r="A182" s="53"/>
      <c r="B182" s="53"/>
      <c r="C182" s="53"/>
      <c r="D182" s="53"/>
      <c r="E182" s="96" t="s">
        <v>432</v>
      </c>
      <c r="F182" s="15"/>
      <c r="G182" s="55"/>
      <c r="H182" s="56"/>
      <c r="I182" s="56"/>
      <c r="J182" s="56"/>
      <c r="K182" s="56"/>
      <c r="N182" s="15"/>
      <c r="Q182" s="19"/>
      <c r="X182" s="20"/>
    </row>
    <row r="183" spans="1:24" s="18" customFormat="1" ht="25.5" x14ac:dyDescent="0.2">
      <c r="A183" s="53"/>
      <c r="B183" s="53"/>
      <c r="C183" s="53"/>
      <c r="D183" s="53"/>
      <c r="E183" s="98" t="s">
        <v>419</v>
      </c>
      <c r="F183" s="15"/>
      <c r="G183" s="55"/>
      <c r="H183" s="56"/>
      <c r="I183" s="56"/>
      <c r="J183" s="56"/>
      <c r="K183" s="56"/>
      <c r="N183" s="15"/>
      <c r="Q183" s="19"/>
      <c r="X183" s="20"/>
    </row>
    <row r="184" spans="1:24" s="18" customFormat="1" x14ac:dyDescent="0.2">
      <c r="A184" s="53"/>
      <c r="B184" s="53"/>
      <c r="C184" s="53"/>
      <c r="D184" s="53"/>
      <c r="E184" s="95" t="s">
        <v>433</v>
      </c>
      <c r="F184" s="15"/>
      <c r="G184" s="55"/>
      <c r="H184" s="56"/>
      <c r="I184" s="56"/>
      <c r="J184" s="56"/>
      <c r="K184" s="56"/>
      <c r="N184" s="15"/>
      <c r="Q184" s="19"/>
      <c r="X184" s="20"/>
    </row>
    <row r="185" spans="1:24" s="18" customFormat="1" x14ac:dyDescent="0.2">
      <c r="A185" s="53"/>
      <c r="B185" s="53"/>
      <c r="C185" s="53"/>
      <c r="D185" s="53"/>
      <c r="E185" s="95" t="s">
        <v>434</v>
      </c>
      <c r="F185" s="15"/>
      <c r="G185" s="55"/>
      <c r="H185" s="56"/>
      <c r="I185" s="56"/>
      <c r="J185" s="56"/>
      <c r="K185" s="56"/>
      <c r="N185" s="15"/>
      <c r="Q185" s="19"/>
      <c r="X185" s="20"/>
    </row>
    <row r="186" spans="1:24" s="18" customFormat="1" ht="13.5" thickBot="1" x14ac:dyDescent="0.25">
      <c r="A186" s="53"/>
      <c r="B186" s="53"/>
      <c r="C186" s="53"/>
      <c r="D186" s="53"/>
      <c r="E186" s="96" t="s">
        <v>413</v>
      </c>
      <c r="F186" s="15"/>
      <c r="G186" s="62"/>
      <c r="H186" s="63"/>
      <c r="I186" s="63"/>
      <c r="J186" s="63"/>
      <c r="K186" s="63"/>
      <c r="N186" s="15"/>
      <c r="Q186" s="19"/>
      <c r="X186" s="20"/>
    </row>
    <row r="188" spans="1:24" x14ac:dyDescent="0.2">
      <c r="A188" s="8" t="s">
        <v>441</v>
      </c>
    </row>
    <row r="189" spans="1:24" ht="30.75" customHeight="1" x14ac:dyDescent="0.2">
      <c r="B189" s="9" t="s">
        <v>442</v>
      </c>
      <c r="C189" s="9"/>
      <c r="D189" s="9"/>
      <c r="E189" s="9"/>
      <c r="F189" s="9"/>
      <c r="G189" s="9"/>
      <c r="H189" s="9"/>
    </row>
  </sheetData>
  <mergeCells count="80">
    <mergeCell ref="B189:H189"/>
    <mergeCell ref="A115:A140"/>
    <mergeCell ref="B115:B140"/>
    <mergeCell ref="C115:C140"/>
    <mergeCell ref="D115:D140"/>
    <mergeCell ref="A141:A186"/>
    <mergeCell ref="B141:B186"/>
    <mergeCell ref="C141:C186"/>
    <mergeCell ref="D141:D186"/>
    <mergeCell ref="A113:A114"/>
    <mergeCell ref="B113:B114"/>
    <mergeCell ref="C113:C114"/>
    <mergeCell ref="D113:D114"/>
    <mergeCell ref="A110:A112"/>
    <mergeCell ref="B110:B112"/>
    <mergeCell ref="C110:C112"/>
    <mergeCell ref="D110:D112"/>
    <mergeCell ref="A108:A109"/>
    <mergeCell ref="B108:B109"/>
    <mergeCell ref="C108:C109"/>
    <mergeCell ref="D108:D109"/>
    <mergeCell ref="A94:A106"/>
    <mergeCell ref="B94:B106"/>
    <mergeCell ref="C94:C106"/>
    <mergeCell ref="D94:D106"/>
    <mergeCell ref="A88:A92"/>
    <mergeCell ref="B88:B92"/>
    <mergeCell ref="C88:C92"/>
    <mergeCell ref="D88:D92"/>
    <mergeCell ref="A69:A87"/>
    <mergeCell ref="B69:B87"/>
    <mergeCell ref="C69:C87"/>
    <mergeCell ref="D69:D87"/>
    <mergeCell ref="A58:A68"/>
    <mergeCell ref="B58:B68"/>
    <mergeCell ref="C58:C68"/>
    <mergeCell ref="D58:D68"/>
    <mergeCell ref="A52:A57"/>
    <mergeCell ref="B52:B57"/>
    <mergeCell ref="C52:C57"/>
    <mergeCell ref="D52:D57"/>
    <mergeCell ref="A47:A51"/>
    <mergeCell ref="B47:B51"/>
    <mergeCell ref="C47:C51"/>
    <mergeCell ref="D47:D51"/>
    <mergeCell ref="A44:A46"/>
    <mergeCell ref="B44:B46"/>
    <mergeCell ref="C44:C46"/>
    <mergeCell ref="D44:D46"/>
    <mergeCell ref="A40:A43"/>
    <mergeCell ref="B40:B43"/>
    <mergeCell ref="C40:C43"/>
    <mergeCell ref="D40:D43"/>
    <mergeCell ref="A36:A37"/>
    <mergeCell ref="B36:B37"/>
    <mergeCell ref="C36:C37"/>
    <mergeCell ref="D36:D37"/>
    <mergeCell ref="A34:A35"/>
    <mergeCell ref="B34:B35"/>
    <mergeCell ref="C34:C35"/>
    <mergeCell ref="D34:D35"/>
    <mergeCell ref="A26:A33"/>
    <mergeCell ref="B26:B33"/>
    <mergeCell ref="C26:C33"/>
    <mergeCell ref="D26:D33"/>
    <mergeCell ref="H23:K23"/>
    <mergeCell ref="A24:A25"/>
    <mergeCell ref="B24:B25"/>
    <mergeCell ref="C24:C25"/>
    <mergeCell ref="D24:D25"/>
    <mergeCell ref="C8:O8"/>
    <mergeCell ref="C9:O9"/>
    <mergeCell ref="B21:D21"/>
    <mergeCell ref="E21:N21"/>
    <mergeCell ref="E22:M22"/>
    <mergeCell ref="C3:O3"/>
    <mergeCell ref="C4:O4"/>
    <mergeCell ref="C5:O5"/>
    <mergeCell ref="C6:O6"/>
    <mergeCell ref="C7:O7"/>
  </mergeCells>
  <conditionalFormatting sqref="H24:H106 H112:H114 H109:H110">
    <cfRule type="expression" dxfId="162" priority="184">
      <formula>($G24&lt;&gt;"SL-1")</formula>
    </cfRule>
  </conditionalFormatting>
  <conditionalFormatting sqref="I24:I106 I112:I114 I109:I110">
    <cfRule type="expression" dxfId="161" priority="183">
      <formula>($G24&lt;&gt;"SL-2")</formula>
    </cfRule>
  </conditionalFormatting>
  <conditionalFormatting sqref="J24:J93 J95:J106 J112:J114 J109:J110">
    <cfRule type="expression" dxfId="160" priority="182">
      <formula>($G24&lt;&gt;"SL-3")</formula>
    </cfRule>
  </conditionalFormatting>
  <conditionalFormatting sqref="K24:K106 K109:K110 K112:K114">
    <cfRule type="expression" dxfId="159" priority="181">
      <formula>($G24&lt;&gt;"SL-4")</formula>
    </cfRule>
  </conditionalFormatting>
  <conditionalFormatting sqref="J45">
    <cfRule type="expression" dxfId="158" priority="180">
      <formula>($G45&lt;&gt;"SL-3")</formula>
    </cfRule>
  </conditionalFormatting>
  <conditionalFormatting sqref="K45">
    <cfRule type="expression" dxfId="157" priority="179">
      <formula>($G45&lt;&gt;"SL-4")</formula>
    </cfRule>
  </conditionalFormatting>
  <conditionalFormatting sqref="J46">
    <cfRule type="expression" dxfId="156" priority="178">
      <formula>($G46&lt;&gt;"SL-3")</formula>
    </cfRule>
  </conditionalFormatting>
  <conditionalFormatting sqref="K46">
    <cfRule type="expression" dxfId="155" priority="177">
      <formula>($G46&lt;&gt;"SL-4")</formula>
    </cfRule>
  </conditionalFormatting>
  <conditionalFormatting sqref="J47">
    <cfRule type="expression" dxfId="154" priority="176">
      <formula>($G47&lt;&gt;"SL-3")</formula>
    </cfRule>
  </conditionalFormatting>
  <conditionalFormatting sqref="K47">
    <cfRule type="expression" dxfId="153" priority="175">
      <formula>($G47&lt;&gt;"SL-4")</formula>
    </cfRule>
  </conditionalFormatting>
  <conditionalFormatting sqref="J48">
    <cfRule type="expression" dxfId="152" priority="174">
      <formula>($G48&lt;&gt;"SL-3")</formula>
    </cfRule>
  </conditionalFormatting>
  <conditionalFormatting sqref="K48">
    <cfRule type="expression" dxfId="151" priority="173">
      <formula>($G48&lt;&gt;"SL-4")</formula>
    </cfRule>
  </conditionalFormatting>
  <conditionalFormatting sqref="J49">
    <cfRule type="expression" dxfId="150" priority="172">
      <formula>($G49&lt;&gt;"SL-3")</formula>
    </cfRule>
  </conditionalFormatting>
  <conditionalFormatting sqref="K49">
    <cfRule type="expression" dxfId="149" priority="171">
      <formula>($G49&lt;&gt;"SL-4")</formula>
    </cfRule>
  </conditionalFormatting>
  <conditionalFormatting sqref="J52">
    <cfRule type="expression" dxfId="148" priority="170">
      <formula>($G52&lt;&gt;"SL-3")</formula>
    </cfRule>
  </conditionalFormatting>
  <conditionalFormatting sqref="K52">
    <cfRule type="expression" dxfId="147" priority="169">
      <formula>($G52&lt;&gt;"SL-4")</formula>
    </cfRule>
  </conditionalFormatting>
  <conditionalFormatting sqref="J53">
    <cfRule type="expression" dxfId="146" priority="168">
      <formula>($G53&lt;&gt;"SL-3")</formula>
    </cfRule>
  </conditionalFormatting>
  <conditionalFormatting sqref="K53">
    <cfRule type="expression" dxfId="145" priority="167">
      <formula>($G53&lt;&gt;"SL-4")</formula>
    </cfRule>
  </conditionalFormatting>
  <conditionalFormatting sqref="K54">
    <cfRule type="expression" dxfId="144" priority="166">
      <formula>($G54&lt;&gt;"SL-3")</formula>
    </cfRule>
  </conditionalFormatting>
  <conditionalFormatting sqref="J55">
    <cfRule type="expression" dxfId="143" priority="165">
      <formula>($G55&lt;&gt;"SL-3")</formula>
    </cfRule>
  </conditionalFormatting>
  <conditionalFormatting sqref="K55">
    <cfRule type="expression" dxfId="142" priority="164">
      <formula>($G55&lt;&gt;"SL-3")</formula>
    </cfRule>
  </conditionalFormatting>
  <conditionalFormatting sqref="J56">
    <cfRule type="expression" dxfId="141" priority="163">
      <formula>($G56&lt;&gt;"SL-3")</formula>
    </cfRule>
  </conditionalFormatting>
  <conditionalFormatting sqref="K56">
    <cfRule type="expression" dxfId="140" priority="162">
      <formula>($G56&lt;&gt;"SL-4")</formula>
    </cfRule>
  </conditionalFormatting>
  <conditionalFormatting sqref="J59">
    <cfRule type="expression" dxfId="139" priority="161">
      <formula>($G59&lt;&gt;"SL-3")</formula>
    </cfRule>
  </conditionalFormatting>
  <conditionalFormatting sqref="K59">
    <cfRule type="expression" dxfId="138" priority="160">
      <formula>($G59&lt;&gt;"SL-4")</formula>
    </cfRule>
  </conditionalFormatting>
  <conditionalFormatting sqref="J61">
    <cfRule type="expression" dxfId="137" priority="159">
      <formula>($G61&lt;&gt;"SL-3")</formula>
    </cfRule>
  </conditionalFormatting>
  <conditionalFormatting sqref="K61">
    <cfRule type="expression" dxfId="136" priority="158">
      <formula>($G61&lt;&gt;"SL-4")</formula>
    </cfRule>
  </conditionalFormatting>
  <conditionalFormatting sqref="J62">
    <cfRule type="expression" dxfId="135" priority="157">
      <formula>($G62&lt;&gt;"SL-3")</formula>
    </cfRule>
  </conditionalFormatting>
  <conditionalFormatting sqref="K62">
    <cfRule type="expression" dxfId="134" priority="156">
      <formula>($G62&lt;&gt;"SL-4")</formula>
    </cfRule>
  </conditionalFormatting>
  <conditionalFormatting sqref="J64">
    <cfRule type="expression" dxfId="133" priority="155">
      <formula>($G64&lt;&gt;"SL-3")</formula>
    </cfRule>
  </conditionalFormatting>
  <conditionalFormatting sqref="K64">
    <cfRule type="expression" dxfId="132" priority="154">
      <formula>($G64&lt;&gt;"SL-4")</formula>
    </cfRule>
  </conditionalFormatting>
  <conditionalFormatting sqref="J67">
    <cfRule type="expression" dxfId="131" priority="152">
      <formula>($G67&lt;&gt;"SL-3")</formula>
    </cfRule>
  </conditionalFormatting>
  <conditionalFormatting sqref="K67">
    <cfRule type="expression" dxfId="130" priority="151">
      <formula>($G67&lt;&gt;"SL-4")</formula>
    </cfRule>
  </conditionalFormatting>
  <conditionalFormatting sqref="J70">
    <cfRule type="expression" dxfId="129" priority="150">
      <formula>($G70&lt;&gt;"SL-3")</formula>
    </cfRule>
  </conditionalFormatting>
  <conditionalFormatting sqref="K70">
    <cfRule type="expression" dxfId="128" priority="149">
      <formula>($G70&lt;&gt;"SL-4")</formula>
    </cfRule>
  </conditionalFormatting>
  <conditionalFormatting sqref="J72">
    <cfRule type="expression" dxfId="127" priority="148">
      <formula>($G72&lt;&gt;"SL-3")</formula>
    </cfRule>
  </conditionalFormatting>
  <conditionalFormatting sqref="K72">
    <cfRule type="expression" dxfId="126" priority="147">
      <formula>($G72&lt;&gt;"SL-4")</formula>
    </cfRule>
  </conditionalFormatting>
  <conditionalFormatting sqref="J73">
    <cfRule type="expression" dxfId="125" priority="146">
      <formula>($G73&lt;&gt;"SL-3")</formula>
    </cfRule>
  </conditionalFormatting>
  <conditionalFormatting sqref="K73">
    <cfRule type="expression" dxfId="124" priority="145">
      <formula>($G73&lt;&gt;"SL-4")</formula>
    </cfRule>
  </conditionalFormatting>
  <conditionalFormatting sqref="J74">
    <cfRule type="expression" dxfId="123" priority="144">
      <formula>($G74&lt;&gt;"SL-3")</formula>
    </cfRule>
  </conditionalFormatting>
  <conditionalFormatting sqref="K74">
    <cfRule type="expression" dxfId="122" priority="143">
      <formula>($G74&lt;&gt;"SL-4")</formula>
    </cfRule>
  </conditionalFormatting>
  <conditionalFormatting sqref="J76">
    <cfRule type="expression" dxfId="121" priority="142">
      <formula>($G76&lt;&gt;"SL-3")</formula>
    </cfRule>
  </conditionalFormatting>
  <conditionalFormatting sqref="K76">
    <cfRule type="expression" dxfId="120" priority="141">
      <formula>($G76&lt;&gt;"SL-4")</formula>
    </cfRule>
  </conditionalFormatting>
  <conditionalFormatting sqref="J79">
    <cfRule type="expression" dxfId="119" priority="140">
      <formula>($G79&lt;&gt;"SL-3")</formula>
    </cfRule>
  </conditionalFormatting>
  <conditionalFormatting sqref="K79">
    <cfRule type="expression" dxfId="118" priority="139">
      <formula>($G79&lt;&gt;"SL-4")</formula>
    </cfRule>
  </conditionalFormatting>
  <conditionalFormatting sqref="J80">
    <cfRule type="expression" dxfId="117" priority="138">
      <formula>($G80&lt;&gt;"SL-3")</formula>
    </cfRule>
  </conditionalFormatting>
  <conditionalFormatting sqref="K80">
    <cfRule type="expression" dxfId="116" priority="137">
      <formula>($G80&lt;&gt;"SL-4")</formula>
    </cfRule>
  </conditionalFormatting>
  <conditionalFormatting sqref="J81">
    <cfRule type="expression" dxfId="115" priority="136">
      <formula>($G81&lt;&gt;"SL-3")</formula>
    </cfRule>
  </conditionalFormatting>
  <conditionalFormatting sqref="K81">
    <cfRule type="expression" dxfId="114" priority="135">
      <formula>($G81&lt;&gt;"SL-4")</formula>
    </cfRule>
  </conditionalFormatting>
  <conditionalFormatting sqref="J82">
    <cfRule type="expression" dxfId="113" priority="134">
      <formula>($G82&lt;&gt;"SL-3")</formula>
    </cfRule>
  </conditionalFormatting>
  <conditionalFormatting sqref="K82">
    <cfRule type="expression" dxfId="112" priority="133">
      <formula>($G82&lt;&gt;"SL-4")</formula>
    </cfRule>
  </conditionalFormatting>
  <conditionalFormatting sqref="I84">
    <cfRule type="expression" dxfId="111" priority="132">
      <formula>($G84&lt;&gt;"SL-3")</formula>
    </cfRule>
  </conditionalFormatting>
  <conditionalFormatting sqref="J84">
    <cfRule type="expression" dxfId="110" priority="131">
      <formula>($G84&lt;&gt;"SL-4")</formula>
    </cfRule>
  </conditionalFormatting>
  <conditionalFormatting sqref="K84">
    <cfRule type="expression" dxfId="109" priority="130">
      <formula>($G84&lt;&gt;"SL-4")</formula>
    </cfRule>
  </conditionalFormatting>
  <conditionalFormatting sqref="J89">
    <cfRule type="expression" dxfId="108" priority="129">
      <formula>($G89&lt;&gt;"SL-3")</formula>
    </cfRule>
  </conditionalFormatting>
  <conditionalFormatting sqref="K89">
    <cfRule type="expression" dxfId="107" priority="128">
      <formula>($G89&lt;&gt;"SL-3")</formula>
    </cfRule>
  </conditionalFormatting>
  <conditionalFormatting sqref="J90">
    <cfRule type="expression" dxfId="106" priority="127">
      <formula>($G90&lt;&gt;"SL-3")</formula>
    </cfRule>
  </conditionalFormatting>
  <conditionalFormatting sqref="K90">
    <cfRule type="expression" dxfId="105" priority="126">
      <formula>($G90&lt;&gt;"SL-3")</formula>
    </cfRule>
  </conditionalFormatting>
  <conditionalFormatting sqref="I91">
    <cfRule type="expression" dxfId="104" priority="125">
      <formula>($G91&lt;&gt;"SL-3")</formula>
    </cfRule>
  </conditionalFormatting>
  <conditionalFormatting sqref="J91">
    <cfRule type="expression" dxfId="103" priority="124">
      <formula>($G91&lt;&gt;"SL-3")</formula>
    </cfRule>
  </conditionalFormatting>
  <conditionalFormatting sqref="J93">
    <cfRule type="expression" dxfId="102" priority="123">
      <formula>($G93&lt;&gt;"SL-3")</formula>
    </cfRule>
  </conditionalFormatting>
  <conditionalFormatting sqref="K93">
    <cfRule type="expression" dxfId="101" priority="122">
      <formula>($G93&lt;&gt;"SL-3")</formula>
    </cfRule>
  </conditionalFormatting>
  <conditionalFormatting sqref="K91">
    <cfRule type="expression" dxfId="100" priority="121">
      <formula>($G91&lt;&gt;"SL-4")</formula>
    </cfRule>
  </conditionalFormatting>
  <conditionalFormatting sqref="I94">
    <cfRule type="expression" dxfId="99" priority="119">
      <formula>($G94&lt;&gt;"SL-4")</formula>
    </cfRule>
  </conditionalFormatting>
  <conditionalFormatting sqref="J95">
    <cfRule type="expression" dxfId="98" priority="118">
      <formula>($G95&lt;&gt;"SL-3")</formula>
    </cfRule>
  </conditionalFormatting>
  <conditionalFormatting sqref="K95">
    <cfRule type="expression" dxfId="97" priority="117">
      <formula>($G95&lt;&gt;"SL-3")</formula>
    </cfRule>
  </conditionalFormatting>
  <conditionalFormatting sqref="J96">
    <cfRule type="expression" dxfId="96" priority="116">
      <formula>($G96&lt;&gt;"SL-3")</formula>
    </cfRule>
  </conditionalFormatting>
  <conditionalFormatting sqref="K96">
    <cfRule type="expression" dxfId="95" priority="115">
      <formula>($G96&lt;&gt;"SL-3")</formula>
    </cfRule>
  </conditionalFormatting>
  <conditionalFormatting sqref="J97">
    <cfRule type="expression" dxfId="94" priority="114">
      <formula>($G97&lt;&gt;"SL-3")</formula>
    </cfRule>
  </conditionalFormatting>
  <conditionalFormatting sqref="K97">
    <cfRule type="expression" dxfId="93" priority="113">
      <formula>($G97&lt;&gt;"SL-3")</formula>
    </cfRule>
  </conditionalFormatting>
  <conditionalFormatting sqref="K98">
    <cfRule type="expression" dxfId="92" priority="112">
      <formula>($G98&lt;&gt;"SL-3")</formula>
    </cfRule>
  </conditionalFormatting>
  <conditionalFormatting sqref="J98">
    <cfRule type="expression" dxfId="91" priority="111">
      <formula>($G98&lt;&gt;"SL-4")</formula>
    </cfRule>
  </conditionalFormatting>
  <conditionalFormatting sqref="I98">
    <cfRule type="expression" dxfId="90" priority="110">
      <formula>($G98&lt;&gt;"SL-3")</formula>
    </cfRule>
  </conditionalFormatting>
  <conditionalFormatting sqref="I99">
    <cfRule type="expression" dxfId="89" priority="109">
      <formula>($G99&lt;&gt;"SL-3")</formula>
    </cfRule>
  </conditionalFormatting>
  <conditionalFormatting sqref="J99">
    <cfRule type="expression" dxfId="88" priority="108">
      <formula>($G99&lt;&gt;"SL-4")</formula>
    </cfRule>
  </conditionalFormatting>
  <conditionalFormatting sqref="K99">
    <cfRule type="expression" dxfId="87" priority="107">
      <formula>($G99&lt;&gt;"SL-3")</formula>
    </cfRule>
  </conditionalFormatting>
  <conditionalFormatting sqref="J100">
    <cfRule type="expression" dxfId="86" priority="106">
      <formula>($G100&lt;&gt;"SL-3")</formula>
    </cfRule>
  </conditionalFormatting>
  <conditionalFormatting sqref="J101">
    <cfRule type="expression" dxfId="85" priority="105">
      <formula>($G101&lt;&gt;"SL-3")</formula>
    </cfRule>
  </conditionalFormatting>
  <conditionalFormatting sqref="K100">
    <cfRule type="expression" dxfId="84" priority="104">
      <formula>($G100&lt;&gt;"SL-3")</formula>
    </cfRule>
  </conditionalFormatting>
  <conditionalFormatting sqref="K101">
    <cfRule type="expression" dxfId="83" priority="103">
      <formula>($G101&lt;&gt;"SL-3")</formula>
    </cfRule>
  </conditionalFormatting>
  <conditionalFormatting sqref="I103">
    <cfRule type="expression" dxfId="82" priority="102">
      <formula>($G103&lt;&gt;"SL-3")</formula>
    </cfRule>
  </conditionalFormatting>
  <conditionalFormatting sqref="J103">
    <cfRule type="expression" dxfId="81" priority="101">
      <formula>($G103&lt;&gt;"SL-4")</formula>
    </cfRule>
  </conditionalFormatting>
  <conditionalFormatting sqref="K103">
    <cfRule type="expression" dxfId="80" priority="100">
      <formula>($G103&lt;&gt;"SL-4")</formula>
    </cfRule>
  </conditionalFormatting>
  <conditionalFormatting sqref="J113">
    <cfRule type="expression" dxfId="79" priority="93">
      <formula>($G113&lt;&gt;"SL-3")</formula>
    </cfRule>
  </conditionalFormatting>
  <conditionalFormatting sqref="K113">
    <cfRule type="expression" dxfId="78" priority="92">
      <formula>($G113&lt;&gt;"SL-3")</formula>
    </cfRule>
  </conditionalFormatting>
  <conditionalFormatting sqref="J114">
    <cfRule type="expression" dxfId="77" priority="91">
      <formula>($G114&lt;&gt;"SL-4")</formula>
    </cfRule>
  </conditionalFormatting>
  <conditionalFormatting sqref="K114">
    <cfRule type="expression" dxfId="76" priority="90">
      <formula>($G114&lt;&gt;"SL-3")</formula>
    </cfRule>
  </conditionalFormatting>
  <conditionalFormatting sqref="I67">
    <cfRule type="expression" dxfId="75" priority="89">
      <formula>($G67&lt;&gt;"SL-2")</formula>
    </cfRule>
  </conditionalFormatting>
  <conditionalFormatting sqref="J94">
    <cfRule type="expression" dxfId="74" priority="88">
      <formula>($G94&lt;&gt;"SL-2")</formula>
    </cfRule>
  </conditionalFormatting>
  <conditionalFormatting sqref="J94">
    <cfRule type="expression" dxfId="73" priority="87">
      <formula>($G94&lt;&gt;"SL-4")</formula>
    </cfRule>
  </conditionalFormatting>
  <conditionalFormatting sqref="H111">
    <cfRule type="expression" dxfId="72" priority="86">
      <formula>($G111&lt;&gt;"SL-1")</formula>
    </cfRule>
  </conditionalFormatting>
  <conditionalFormatting sqref="I111">
    <cfRule type="expression" dxfId="71" priority="85">
      <formula>($G111&lt;&gt;"SL-2")</formula>
    </cfRule>
  </conditionalFormatting>
  <conditionalFormatting sqref="J111">
    <cfRule type="expression" dxfId="70" priority="84">
      <formula>($G111&lt;&gt;"SL-3")</formula>
    </cfRule>
  </conditionalFormatting>
  <conditionalFormatting sqref="K111">
    <cfRule type="expression" dxfId="69" priority="83">
      <formula>($G111&lt;&gt;"SL-4")</formula>
    </cfRule>
  </conditionalFormatting>
  <conditionalFormatting sqref="H108">
    <cfRule type="expression" dxfId="68" priority="82">
      <formula>($G108&lt;&gt;"SL-1")</formula>
    </cfRule>
  </conditionalFormatting>
  <conditionalFormatting sqref="I108">
    <cfRule type="expression" dxfId="67" priority="81">
      <formula>($G108&lt;&gt;"SL-2")</formula>
    </cfRule>
  </conditionalFormatting>
  <conditionalFormatting sqref="J108">
    <cfRule type="expression" dxfId="66" priority="80">
      <formula>($G108&lt;&gt;"SL-3")</formula>
    </cfRule>
  </conditionalFormatting>
  <conditionalFormatting sqref="K108">
    <cfRule type="expression" dxfId="65" priority="79">
      <formula>($G108&lt;&gt;"SL-4")</formula>
    </cfRule>
  </conditionalFormatting>
  <conditionalFormatting sqref="H107">
    <cfRule type="expression" dxfId="64" priority="74">
      <formula>($G107&lt;&gt;"SL-1")</formula>
    </cfRule>
  </conditionalFormatting>
  <conditionalFormatting sqref="I107">
    <cfRule type="expression" dxfId="63" priority="73">
      <formula>($G107&lt;&gt;"SL-2")</formula>
    </cfRule>
  </conditionalFormatting>
  <conditionalFormatting sqref="J107">
    <cfRule type="expression" dxfId="62" priority="72">
      <formula>($G107&lt;&gt;"SL-3")</formula>
    </cfRule>
  </conditionalFormatting>
  <conditionalFormatting sqref="K107">
    <cfRule type="expression" dxfId="61" priority="71">
      <formula>($G107&lt;&gt;"SL-4")</formula>
    </cfRule>
  </conditionalFormatting>
  <conditionalFormatting sqref="H24:N25">
    <cfRule type="expression" dxfId="60" priority="70">
      <formula>$C$24&lt;&gt;"Yes"</formula>
    </cfRule>
  </conditionalFormatting>
  <conditionalFormatting sqref="H26:N33">
    <cfRule type="expression" dxfId="59" priority="69">
      <formula>$C$26&lt;&gt;"Yes"</formula>
    </cfRule>
  </conditionalFormatting>
  <conditionalFormatting sqref="H34:N35">
    <cfRule type="expression" dxfId="58" priority="68">
      <formula>$C$34&lt;&gt;"Yes"</formula>
    </cfRule>
  </conditionalFormatting>
  <conditionalFormatting sqref="G36:N37">
    <cfRule type="expression" dxfId="57" priority="67">
      <formula>$C$36&lt;&gt;"Yes"</formula>
    </cfRule>
  </conditionalFormatting>
  <conditionalFormatting sqref="G38:N38">
    <cfRule type="expression" dxfId="56" priority="66">
      <formula>$C$38&lt;&gt;"Yes"</formula>
    </cfRule>
  </conditionalFormatting>
  <conditionalFormatting sqref="G39:N39">
    <cfRule type="expression" dxfId="55" priority="65">
      <formula>$C$39&lt;&gt;"Yes"</formula>
    </cfRule>
  </conditionalFormatting>
  <conditionalFormatting sqref="G40:N44">
    <cfRule type="expression" dxfId="54" priority="64">
      <formula>$C$40&lt;&gt;"Yes"</formula>
    </cfRule>
  </conditionalFormatting>
  <conditionalFormatting sqref="G40:N43">
    <cfRule type="expression" dxfId="53" priority="62">
      <formula>$C$40&lt;&gt;"Yes"</formula>
    </cfRule>
    <cfRule type="expression" dxfId="52" priority="63">
      <formula>$C$40&lt;&gt;"Yes"</formula>
    </cfRule>
  </conditionalFormatting>
  <conditionalFormatting sqref="F115:F140">
    <cfRule type="expression" dxfId="51" priority="61">
      <formula>$C$309&lt;&gt;"Yes"</formula>
    </cfRule>
  </conditionalFormatting>
  <conditionalFormatting sqref="F141:F151">
    <cfRule type="expression" dxfId="50" priority="60">
      <formula>$C$335&lt;&gt;"Yes"</formula>
    </cfRule>
  </conditionalFormatting>
  <conditionalFormatting sqref="H115">
    <cfRule type="expression" dxfId="49" priority="59">
      <formula>($G115&lt;&gt;"SL-1")</formula>
    </cfRule>
  </conditionalFormatting>
  <conditionalFormatting sqref="H116:H139">
    <cfRule type="expression" dxfId="48" priority="58">
      <formula>($G116&lt;&gt;"SL-1")</formula>
    </cfRule>
  </conditionalFormatting>
  <conditionalFormatting sqref="H140">
    <cfRule type="expression" dxfId="47" priority="57">
      <formula>($G140&lt;&gt;"SL-1")</formula>
    </cfRule>
  </conditionalFormatting>
  <conditionalFormatting sqref="H141">
    <cfRule type="expression" dxfId="46" priority="55">
      <formula>($G141&lt;&gt;"SL-1")</formula>
    </cfRule>
  </conditionalFormatting>
  <conditionalFormatting sqref="H142:H185">
    <cfRule type="expression" dxfId="45" priority="54">
      <formula>($G142&lt;&gt;"SL-1")</formula>
    </cfRule>
  </conditionalFormatting>
  <conditionalFormatting sqref="I115">
    <cfRule type="expression" dxfId="44" priority="52">
      <formula>($G115&lt;&gt;"SL-1")</formula>
    </cfRule>
  </conditionalFormatting>
  <conditionalFormatting sqref="I116:I139">
    <cfRule type="expression" dxfId="43" priority="51">
      <formula>($G116&lt;&gt;"SL-1")</formula>
    </cfRule>
  </conditionalFormatting>
  <conditionalFormatting sqref="I140">
    <cfRule type="expression" dxfId="42" priority="50">
      <formula>($G140&lt;&gt;"SL-1")</formula>
    </cfRule>
  </conditionalFormatting>
  <conditionalFormatting sqref="I141">
    <cfRule type="expression" dxfId="41" priority="48">
      <formula>($G141&lt;&gt;"SL-1")</formula>
    </cfRule>
  </conditionalFormatting>
  <conditionalFormatting sqref="I142:I185">
    <cfRule type="expression" dxfId="40" priority="47">
      <formula>($G142&lt;&gt;"SL-1")</formula>
    </cfRule>
  </conditionalFormatting>
  <conditionalFormatting sqref="J115">
    <cfRule type="expression" dxfId="39" priority="46">
      <formula>($G115&lt;&gt;"SL-1")</formula>
    </cfRule>
  </conditionalFormatting>
  <conditionalFormatting sqref="J116:J139">
    <cfRule type="expression" dxfId="38" priority="45">
      <formula>($G116&lt;&gt;"SL-1")</formula>
    </cfRule>
  </conditionalFormatting>
  <conditionalFormatting sqref="J140">
    <cfRule type="expression" dxfId="37" priority="44">
      <formula>($G140&lt;&gt;"SL-1")</formula>
    </cfRule>
  </conditionalFormatting>
  <conditionalFormatting sqref="J141">
    <cfRule type="expression" dxfId="36" priority="42">
      <formula>($G141&lt;&gt;"SL-1")</formula>
    </cfRule>
  </conditionalFormatting>
  <conditionalFormatting sqref="J142:J185">
    <cfRule type="expression" dxfId="35" priority="41">
      <formula>($G142&lt;&gt;"SL-1")</formula>
    </cfRule>
  </conditionalFormatting>
  <conditionalFormatting sqref="K115">
    <cfRule type="expression" dxfId="34" priority="40">
      <formula>($G115&lt;&gt;"SL-1")</formula>
    </cfRule>
  </conditionalFormatting>
  <conditionalFormatting sqref="K116:K139">
    <cfRule type="expression" dxfId="33" priority="39">
      <formula>($G116&lt;&gt;"SL-1")</formula>
    </cfRule>
  </conditionalFormatting>
  <conditionalFormatting sqref="K140">
    <cfRule type="expression" dxfId="32" priority="38">
      <formula>($G140&lt;&gt;"SL-1")</formula>
    </cfRule>
  </conditionalFormatting>
  <conditionalFormatting sqref="K141">
    <cfRule type="expression" dxfId="31" priority="36">
      <formula>($G141&lt;&gt;"SL-1")</formula>
    </cfRule>
  </conditionalFormatting>
  <conditionalFormatting sqref="K142:K185">
    <cfRule type="expression" dxfId="30" priority="35">
      <formula>($G142&lt;&gt;"SL-1")</formula>
    </cfRule>
  </conditionalFormatting>
  <conditionalFormatting sqref="D24:D25">
    <cfRule type="expression" dxfId="29" priority="34">
      <formula>$C$24="Yes"</formula>
    </cfRule>
  </conditionalFormatting>
  <conditionalFormatting sqref="D26:D33">
    <cfRule type="expression" dxfId="28" priority="33">
      <formula>$C$26="Yes"</formula>
    </cfRule>
  </conditionalFormatting>
  <conditionalFormatting sqref="D34:D35">
    <cfRule type="expression" dxfId="27" priority="32">
      <formula>$C$34="Yes"</formula>
    </cfRule>
  </conditionalFormatting>
  <conditionalFormatting sqref="D36:D37">
    <cfRule type="expression" dxfId="26" priority="31">
      <formula>$C$24="Yes"</formula>
    </cfRule>
  </conditionalFormatting>
  <conditionalFormatting sqref="D38">
    <cfRule type="expression" dxfId="25" priority="30">
      <formula>$C$38="Yes"</formula>
    </cfRule>
  </conditionalFormatting>
  <conditionalFormatting sqref="D39">
    <cfRule type="expression" dxfId="24" priority="29">
      <formula>$C$38="Yes"</formula>
    </cfRule>
  </conditionalFormatting>
  <conditionalFormatting sqref="D40:D43">
    <cfRule type="expression" dxfId="23" priority="28">
      <formula>$C$40="Yes"</formula>
    </cfRule>
  </conditionalFormatting>
  <conditionalFormatting sqref="D44:D46">
    <cfRule type="expression" dxfId="22" priority="27">
      <formula>$C$44="Yes"</formula>
    </cfRule>
  </conditionalFormatting>
  <conditionalFormatting sqref="D47:D51">
    <cfRule type="expression" dxfId="21" priority="26">
      <formula>$C$47="Yes"</formula>
    </cfRule>
  </conditionalFormatting>
  <conditionalFormatting sqref="D52:D57">
    <cfRule type="expression" dxfId="20" priority="25">
      <formula>$C$52="Yes"</formula>
    </cfRule>
  </conditionalFormatting>
  <conditionalFormatting sqref="D58:D68">
    <cfRule type="expression" dxfId="19" priority="24">
      <formula>$C$58="yes"</formula>
    </cfRule>
  </conditionalFormatting>
  <conditionalFormatting sqref="D69:D87">
    <cfRule type="expression" dxfId="18" priority="23">
      <formula>$C$69="Yes"</formula>
    </cfRule>
  </conditionalFormatting>
  <conditionalFormatting sqref="D88:D92">
    <cfRule type="expression" dxfId="17" priority="22">
      <formula>$C$47="Yes"</formula>
    </cfRule>
  </conditionalFormatting>
  <conditionalFormatting sqref="D93">
    <cfRule type="expression" dxfId="16" priority="21">
      <formula>$C$38="Yes"</formula>
    </cfRule>
  </conditionalFormatting>
  <conditionalFormatting sqref="D94:D106">
    <cfRule type="expression" dxfId="15" priority="20">
      <formula>$C$94="Yes"</formula>
    </cfRule>
  </conditionalFormatting>
  <conditionalFormatting sqref="D107">
    <cfRule type="expression" dxfId="14" priority="19">
      <formula>$C$38="Yes"</formula>
    </cfRule>
  </conditionalFormatting>
  <conditionalFormatting sqref="D108:D109">
    <cfRule type="expression" dxfId="13" priority="18">
      <formula>$C$24="Yes"</formula>
    </cfRule>
  </conditionalFormatting>
  <conditionalFormatting sqref="D113:D114">
    <cfRule type="expression" dxfId="12" priority="17">
      <formula>$C$24="Yes"</formula>
    </cfRule>
  </conditionalFormatting>
  <conditionalFormatting sqref="D110:D112">
    <cfRule type="expression" dxfId="11" priority="16">
      <formula>$C$110="Yes"</formula>
    </cfRule>
  </conditionalFormatting>
  <conditionalFormatting sqref="D115:D140">
    <cfRule type="expression" dxfId="10" priority="15">
      <formula>$C$115="Yes"</formula>
    </cfRule>
  </conditionalFormatting>
  <conditionalFormatting sqref="D141:D186">
    <cfRule type="expression" dxfId="9" priority="1">
      <formula xml:space="preserve"> $C$141= "Yes"</formula>
    </cfRule>
  </conditionalFormatting>
  <conditionalFormatting sqref="H186">
    <cfRule type="expression" dxfId="8" priority="5">
      <formula>($G186&lt;&gt;"SL-1")</formula>
    </cfRule>
  </conditionalFormatting>
  <conditionalFormatting sqref="I186">
    <cfRule type="expression" dxfId="7" priority="4">
      <formula>($G186&lt;&gt;"SL-1")</formula>
    </cfRule>
  </conditionalFormatting>
  <conditionalFormatting sqref="J186">
    <cfRule type="expression" dxfId="6" priority="3">
      <formula>($G186&lt;&gt;"SL-1")</formula>
    </cfRule>
  </conditionalFormatting>
  <conditionalFormatting sqref="K186">
    <cfRule type="expression" dxfId="5" priority="2">
      <formula>($G186&lt;&gt;"SL-1")</formula>
    </cfRule>
  </conditionalFormatting>
  <dataValidations disablePrompts="1" count="3">
    <dataValidation type="list" allowBlank="1" showInputMessage="1" showErrorMessage="1" sqref="C24:C51 C58:C186" xr:uid="{00000000-0002-0000-0100-000000000000}">
      <formula1>"Yes, No"</formula1>
    </dataValidation>
    <dataValidation type="list" allowBlank="1" showInputMessage="1" showErrorMessage="1" sqref="C52:C57" xr:uid="{00000000-0002-0000-0100-000001000000}">
      <formula1>"Yes, No"</formula1>
    </dataValidation>
    <dataValidation type="list" allowBlank="1" showInputMessage="1" showErrorMessage="1" sqref="F115:F151 G115:H186" xr:uid="{00000000-0002-0000-0100-000002000000}">
      <formula1>"Yes, No, N/A"</formula1>
    </dataValidation>
  </dataValidations>
  <pageMargins left="0.7" right="0.7" top="0.75" bottom="0.75" header="0.3" footer="0.3"/>
  <pageSetup scale="33" orientation="portrait" r:id="rId1"/>
  <headerFooter>
    <oddHeader>&amp;L&amp;G
&amp;"Cambria,Regular"&amp;11Doc Number: D0000003422
Name: Product Security Standard Assessment
Revision: AA&amp;10
&amp;20Form</oddHeader>
    <oddFooter>&amp;L&amp;"Cambria,Regular"&amp;8Stryker Confidential&amp;R&amp;"Cambria,Regular"&amp;8Page &amp;P of &amp;N</oddFooter>
  </headerFooter>
  <legacyDrawingHF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3"/>
  <sheetViews>
    <sheetView topLeftCell="A52" zoomScaleNormal="100" workbookViewId="0">
      <selection activeCell="B1" sqref="B1"/>
    </sheetView>
  </sheetViews>
  <sheetFormatPr defaultColWidth="9.140625" defaultRowHeight="12.75" x14ac:dyDescent="0.2"/>
  <cols>
    <col min="2" max="2" width="145.85546875" customWidth="1"/>
  </cols>
  <sheetData>
    <row r="1" spans="2:2" x14ac:dyDescent="0.2">
      <c r="B1" s="10" t="s">
        <v>397</v>
      </c>
    </row>
    <row r="2" spans="2:2" x14ac:dyDescent="0.2">
      <c r="B2" s="11"/>
    </row>
    <row r="3" spans="2:2" x14ac:dyDescent="0.2">
      <c r="B3" s="12" t="s">
        <v>439</v>
      </c>
    </row>
    <row r="4" spans="2:2" x14ac:dyDescent="0.2">
      <c r="B4" s="12"/>
    </row>
    <row r="5" spans="2:2" ht="13.5" customHeight="1" x14ac:dyDescent="0.2">
      <c r="B5" s="12" t="s">
        <v>281</v>
      </c>
    </row>
    <row r="6" spans="2:2" ht="13.5" customHeight="1" x14ac:dyDescent="0.2">
      <c r="B6" s="12"/>
    </row>
    <row r="7" spans="2:2" x14ac:dyDescent="0.2">
      <c r="B7" s="12" t="s">
        <v>269</v>
      </c>
    </row>
    <row r="8" spans="2:2" x14ac:dyDescent="0.2">
      <c r="B8" s="12" t="s">
        <v>270</v>
      </c>
    </row>
    <row r="9" spans="2:2" ht="38.25" x14ac:dyDescent="0.2">
      <c r="B9" s="12" t="s">
        <v>271</v>
      </c>
    </row>
    <row r="10" spans="2:2" x14ac:dyDescent="0.2">
      <c r="B10" s="12"/>
    </row>
    <row r="11" spans="2:2" x14ac:dyDescent="0.2">
      <c r="B11" s="12" t="s">
        <v>272</v>
      </c>
    </row>
    <row r="12" spans="2:2" x14ac:dyDescent="0.2">
      <c r="B12" s="12" t="s">
        <v>273</v>
      </c>
    </row>
    <row r="13" spans="2:2" ht="51" x14ac:dyDescent="0.2">
      <c r="B13" s="12" t="s">
        <v>274</v>
      </c>
    </row>
    <row r="14" spans="2:2" x14ac:dyDescent="0.2">
      <c r="B14" s="12"/>
    </row>
    <row r="15" spans="2:2" x14ac:dyDescent="0.2">
      <c r="B15" s="12" t="s">
        <v>275</v>
      </c>
    </row>
    <row r="16" spans="2:2" ht="25.5" x14ac:dyDescent="0.2">
      <c r="B16" s="12" t="s">
        <v>276</v>
      </c>
    </row>
    <row r="17" spans="2:2" ht="38.25" x14ac:dyDescent="0.2">
      <c r="B17" s="12" t="s">
        <v>277</v>
      </c>
    </row>
    <row r="18" spans="2:2" x14ac:dyDescent="0.2">
      <c r="B18" s="12"/>
    </row>
    <row r="19" spans="2:2" x14ac:dyDescent="0.2">
      <c r="B19" s="12" t="s">
        <v>278</v>
      </c>
    </row>
    <row r="20" spans="2:2" x14ac:dyDescent="0.2">
      <c r="B20" s="12" t="s">
        <v>279</v>
      </c>
    </row>
    <row r="21" spans="2:2" x14ac:dyDescent="0.2">
      <c r="B21" s="12" t="s">
        <v>280</v>
      </c>
    </row>
    <row r="22" spans="2:2" x14ac:dyDescent="0.2">
      <c r="B22" s="11"/>
    </row>
    <row r="23" spans="2:2" x14ac:dyDescent="0.2">
      <c r="B23" s="11"/>
    </row>
    <row r="24" spans="2:2" x14ac:dyDescent="0.2">
      <c r="B24" s="11"/>
    </row>
    <row r="25" spans="2:2" x14ac:dyDescent="0.2">
      <c r="B25" s="11"/>
    </row>
    <row r="26" spans="2:2" x14ac:dyDescent="0.2">
      <c r="B26" s="11"/>
    </row>
    <row r="27" spans="2:2" x14ac:dyDescent="0.2">
      <c r="B27" s="11"/>
    </row>
    <row r="28" spans="2:2" x14ac:dyDescent="0.2">
      <c r="B28" s="11"/>
    </row>
    <row r="29" spans="2:2" x14ac:dyDescent="0.2">
      <c r="B29" s="11" t="s">
        <v>440</v>
      </c>
    </row>
    <row r="30" spans="2:2" x14ac:dyDescent="0.2">
      <c r="B30" s="11"/>
    </row>
    <row r="31" spans="2:2" x14ac:dyDescent="0.2">
      <c r="B31" s="11" t="s">
        <v>298</v>
      </c>
    </row>
    <row r="32" spans="2:2" x14ac:dyDescent="0.2">
      <c r="B32" s="11"/>
    </row>
    <row r="33" spans="2:2" x14ac:dyDescent="0.2">
      <c r="B33" s="11" t="s">
        <v>296</v>
      </c>
    </row>
    <row r="34" spans="2:2" x14ac:dyDescent="0.2">
      <c r="B34" s="11" t="s">
        <v>284</v>
      </c>
    </row>
    <row r="35" spans="2:2" x14ac:dyDescent="0.2">
      <c r="B35" s="11" t="s">
        <v>285</v>
      </c>
    </row>
    <row r="36" spans="2:2" x14ac:dyDescent="0.2">
      <c r="B36" s="11" t="s">
        <v>286</v>
      </c>
    </row>
    <row r="37" spans="2:2" x14ac:dyDescent="0.2">
      <c r="B37" s="11" t="s">
        <v>287</v>
      </c>
    </row>
    <row r="38" spans="2:2" x14ac:dyDescent="0.2">
      <c r="B38" s="11" t="s">
        <v>288</v>
      </c>
    </row>
    <row r="39" spans="2:2" x14ac:dyDescent="0.2">
      <c r="B39" s="11" t="s">
        <v>289</v>
      </c>
    </row>
    <row r="40" spans="2:2" x14ac:dyDescent="0.2">
      <c r="B40" s="11" t="s">
        <v>290</v>
      </c>
    </row>
    <row r="41" spans="2:2" x14ac:dyDescent="0.2">
      <c r="B41" s="11" t="s">
        <v>291</v>
      </c>
    </row>
    <row r="42" spans="2:2" x14ac:dyDescent="0.2">
      <c r="B42" s="11"/>
    </row>
    <row r="43" spans="2:2" x14ac:dyDescent="0.2">
      <c r="B43" s="11" t="s">
        <v>295</v>
      </c>
    </row>
    <row r="44" spans="2:2" x14ac:dyDescent="0.2">
      <c r="B44" s="11"/>
    </row>
    <row r="45" spans="2:2" ht="38.25" x14ac:dyDescent="0.2">
      <c r="B45" s="12" t="s">
        <v>297</v>
      </c>
    </row>
    <row r="46" spans="2:2" x14ac:dyDescent="0.2">
      <c r="B46" s="12"/>
    </row>
    <row r="47" spans="2:2" x14ac:dyDescent="0.2">
      <c r="B47" s="13" t="s">
        <v>299</v>
      </c>
    </row>
    <row r="48" spans="2:2" x14ac:dyDescent="0.2">
      <c r="B48" s="11"/>
    </row>
    <row r="49" spans="1:8" ht="76.5" x14ac:dyDescent="0.2">
      <c r="B49" s="12" t="s">
        <v>282</v>
      </c>
    </row>
    <row r="50" spans="1:8" x14ac:dyDescent="0.2">
      <c r="B50" s="11"/>
    </row>
    <row r="51" spans="1:8" ht="63.75" x14ac:dyDescent="0.2">
      <c r="B51" s="14" t="s">
        <v>292</v>
      </c>
    </row>
    <row r="52" spans="1:8" x14ac:dyDescent="0.2">
      <c r="B52" s="11"/>
    </row>
    <row r="53" spans="1:8" ht="102" x14ac:dyDescent="0.2">
      <c r="B53" s="12" t="s">
        <v>293</v>
      </c>
    </row>
    <row r="54" spans="1:8" x14ac:dyDescent="0.2">
      <c r="B54" s="11"/>
    </row>
    <row r="55" spans="1:8" ht="102" x14ac:dyDescent="0.2">
      <c r="B55" s="12" t="s">
        <v>283</v>
      </c>
    </row>
    <row r="56" spans="1:8" x14ac:dyDescent="0.2">
      <c r="B56" s="11"/>
    </row>
    <row r="57" spans="1:8" ht="76.5" x14ac:dyDescent="0.2">
      <c r="B57" s="12" t="s">
        <v>294</v>
      </c>
    </row>
    <row r="58" spans="1:8" x14ac:dyDescent="0.2">
      <c r="B58" s="1"/>
    </row>
    <row r="59" spans="1:8" x14ac:dyDescent="0.2">
      <c r="A59" s="8" t="s">
        <v>441</v>
      </c>
    </row>
    <row r="60" spans="1:8" x14ac:dyDescent="0.2">
      <c r="B60" s="9" t="s">
        <v>442</v>
      </c>
      <c r="C60" s="9"/>
      <c r="D60" s="9"/>
      <c r="E60" s="9"/>
      <c r="F60" s="9"/>
      <c r="G60" s="9"/>
      <c r="H60" s="9"/>
    </row>
    <row r="63" spans="1:8" x14ac:dyDescent="0.2">
      <c r="B63" s="1"/>
    </row>
  </sheetData>
  <mergeCells count="1">
    <mergeCell ref="B60:H60"/>
  </mergeCells>
  <pageMargins left="0.7" right="0.7" top="0.75" bottom="0.75" header="0.3" footer="0.3"/>
  <pageSetup scale="33" orientation="portrait" r:id="rId1"/>
  <headerFooter>
    <oddHeader>&amp;L&amp;G
&amp;"Cambria,Regular"&amp;11Doc Number: D0000003422
Name: Product Security Standard Assessment
Revision: AA&amp;10
&amp;20Form</oddHeader>
    <oddFooter>&amp;L&amp;"Cambria,Regular"&amp;8Stryker Confidential&amp;R&amp;"Cambria,Regular"&amp;8Page &amp;P of &amp;N</oddFooter>
  </headerFooter>
  <drawing r:id="rId2"/>
  <legacyDrawing r:id="rId3"/>
  <legacyDrawingHF r:id="rId4"/>
  <oleObjects>
    <mc:AlternateContent xmlns:mc="http://schemas.openxmlformats.org/markup-compatibility/2006">
      <mc:Choice Requires="x14">
        <oleObject progId="Visio.Drawing.11" shapeId="21505" r:id="rId5">
          <objectPr defaultSize="0" r:id="rId6">
            <anchor moveWithCells="1">
              <from>
                <xdr:col>2</xdr:col>
                <xdr:colOff>600075</xdr:colOff>
                <xdr:row>1</xdr:row>
                <xdr:rowOff>0</xdr:rowOff>
              </from>
              <to>
                <xdr:col>9</xdr:col>
                <xdr:colOff>104775</xdr:colOff>
                <xdr:row>22</xdr:row>
                <xdr:rowOff>133350</xdr:rowOff>
              </to>
            </anchor>
          </objectPr>
        </oleObject>
      </mc:Choice>
      <mc:Fallback>
        <oleObject progId="Visio.Drawing.11" shapeId="21505" r:id="rId5"/>
      </mc:Fallback>
    </mc:AlternateContent>
    <mc:AlternateContent xmlns:mc="http://schemas.openxmlformats.org/markup-compatibility/2006">
      <mc:Choice Requires="x14">
        <oleObject progId="Visio.Drawing.11" shapeId="21507" r:id="rId7">
          <objectPr defaultSize="0" r:id="rId8">
            <anchor moveWithCells="1">
              <from>
                <xdr:col>3</xdr:col>
                <xdr:colOff>0</xdr:colOff>
                <xdr:row>29</xdr:row>
                <xdr:rowOff>0</xdr:rowOff>
              </from>
              <to>
                <xdr:col>9</xdr:col>
                <xdr:colOff>57150</xdr:colOff>
                <xdr:row>46</xdr:row>
                <xdr:rowOff>9525</xdr:rowOff>
              </to>
            </anchor>
          </objectPr>
        </oleObject>
      </mc:Choice>
      <mc:Fallback>
        <oleObject progId="Visio.Drawing.11" shapeId="21507" r:id="rId7"/>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43046DD983A141B1ABE7F3503612CA" ma:contentTypeVersion="0" ma:contentTypeDescription="Create a new document." ma:contentTypeScope="" ma:versionID="c9f5fbe57e24920568dc4c1a2a4bdb12">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535D18-5A97-499A-B6B0-F79B29BA66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E29E0D53-7847-4D02-91CE-17FDDA9863FE}">
  <ds:schemaRefs>
    <ds:schemaRef ds:uri="http://purl.org/dc/terms/"/>
    <ds:schemaRef ds:uri="http://schemas.microsoft.com/office/infopath/2007/PartnerControls"/>
    <ds:schemaRef ds:uri="http://schemas.microsoft.com/office/2006/metadata/properties"/>
    <ds:schemaRef ds:uri="http://www.w3.org/XML/1998/namespace"/>
    <ds:schemaRef ds:uri="http://purl.org/dc/dcmitype/"/>
    <ds:schemaRef ds:uri="http://schemas.microsoft.com/office/2006/documentManagement/type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C5B17639-5198-4626-9E01-205F047E0F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NIST</vt:lpstr>
      <vt:lpstr>IEC</vt:lpstr>
      <vt:lpstr>System Security Level</vt:lpstr>
    </vt:vector>
  </TitlesOfParts>
  <Company>U.S.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Security Self Assessment Template for Moderate Impact Information Systems at the VDC</dc:title>
  <dc:creator>Chuck.Tobler</dc:creator>
  <cp:lastModifiedBy>Harn, Ellen</cp:lastModifiedBy>
  <cp:lastPrinted>2018-05-03T14:58:55Z</cp:lastPrinted>
  <dcterms:created xsi:type="dcterms:W3CDTF">2007-04-10T19:12:59Z</dcterms:created>
  <dcterms:modified xsi:type="dcterms:W3CDTF">2018-09-11T18:53:19Z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0x0101007243046DD983A141B1ABE7F3503612CA</vt:lpwstr>
  </property>
  <property fmtid="{D5CDD505-2E9C-101B-9397-08002B2CF9AE}" pid="3" name="_dlc_DocIdItemGuid">
    <vt:lpwstr>9501f0c5-d682-4716-9529-c53f142edde6</vt:lpwstr>
  </property>
  <property fmtid="{D5CDD505-2E9C-101B-9397-08002B2CF9AE}" pid="4" name="Order">
    <vt:r8>45600</vt:r8>
  </property>
  <property fmtid="{D5CDD505-2E9C-101B-9397-08002B2CF9AE}" pid="5" name="TemplateUrl">
    <vt:lpwstr/>
  </property>
  <property fmtid="{D5CDD505-2E9C-101B-9397-08002B2CF9AE}" pid="6" name="xd_Signature">
    <vt:bool>false</vt:bool>
  </property>
  <property fmtid="{D5CDD505-2E9C-101B-9397-08002B2CF9AE}" pid="7" name="xd_ProgID">
    <vt:lpwstr/>
  </property>
  <property fmtid="{D5CDD505-2E9C-101B-9397-08002B2CF9AE}" pid="8" name="Order Number">
    <vt:lpwstr>2</vt:lpwstr>
  </property>
</Properties>
</file>