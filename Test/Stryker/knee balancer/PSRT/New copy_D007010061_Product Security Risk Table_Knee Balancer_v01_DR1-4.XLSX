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PSRT\"/>
    </mc:Choice>
  </mc:AlternateContent>
  <xr:revisionPtr revIDLastSave="0" documentId="13_ncr:1_{03DFC56F-3956-4B77-82F8-78912492CB9B}" xr6:coauthVersionLast="47" xr6:coauthVersionMax="47" xr10:uidLastSave="{00000000-0000-0000-0000-000000000000}"/>
  <bookViews>
    <workbookView xWindow="-120" yWindow="-120" windowWidth="20730" windowHeight="11160" tabRatio="891" activeTab="2"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4" i="12" l="1"/>
  <c r="E24" i="12"/>
  <c r="G24" i="12"/>
  <c r="R24" i="12"/>
  <c r="S24" i="12"/>
  <c r="T24" i="12"/>
  <c r="W24" i="12"/>
  <c r="AK24" i="12"/>
  <c r="AL24" i="12"/>
  <c r="AM24" i="12"/>
  <c r="AN24" i="12" s="1"/>
  <c r="AO24" i="12"/>
  <c r="AP24" i="12" s="1"/>
  <c r="U24" i="12" l="1"/>
  <c r="X24" i="12"/>
  <c r="Y24" i="12" s="1"/>
  <c r="C23" i="12" l="1"/>
  <c r="E23" i="12"/>
  <c r="G23" i="12"/>
  <c r="R23" i="12"/>
  <c r="S23" i="12"/>
  <c r="T23" i="12" s="1"/>
  <c r="W23" i="12"/>
  <c r="AK23" i="12"/>
  <c r="AL23" i="12"/>
  <c r="AM23" i="12"/>
  <c r="AN23" i="12" s="1"/>
  <c r="C21" i="12"/>
  <c r="C22" i="12"/>
  <c r="E21" i="12"/>
  <c r="E22" i="12"/>
  <c r="G21" i="12"/>
  <c r="G22" i="12"/>
  <c r="R21" i="12"/>
  <c r="R22" i="12"/>
  <c r="S21" i="12"/>
  <c r="T21" i="12" s="1"/>
  <c r="S22" i="12"/>
  <c r="T22" i="12" s="1"/>
  <c r="W21" i="12"/>
  <c r="W22" i="12"/>
  <c r="AK21" i="12"/>
  <c r="AK22" i="12"/>
  <c r="AL21" i="12"/>
  <c r="AL22" i="12"/>
  <c r="AM21" i="12"/>
  <c r="AN21" i="12" s="1"/>
  <c r="AM22" i="12"/>
  <c r="AN22" i="12" s="1"/>
  <c r="C17" i="12"/>
  <c r="E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C20" i="12"/>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E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C10" i="12"/>
  <c r="E10" i="12"/>
  <c r="G10" i="12"/>
  <c r="R10" i="12"/>
  <c r="S10" i="12"/>
  <c r="T10" i="12" s="1"/>
  <c r="W10" i="12"/>
  <c r="AK10" i="12"/>
  <c r="AL10" i="12"/>
  <c r="AM10" i="12"/>
  <c r="AN10" i="12" s="1"/>
  <c r="C11" i="12"/>
  <c r="E11" i="12"/>
  <c r="G11" i="12"/>
  <c r="R11" i="12"/>
  <c r="S11" i="12"/>
  <c r="T11" i="12" s="1"/>
  <c r="W11" i="12"/>
  <c r="AK11" i="12"/>
  <c r="AL11" i="12"/>
  <c r="AM11" i="12"/>
  <c r="AN11" i="12" s="1"/>
  <c r="C8" i="12"/>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sharedStrings.xml><?xml version="1.0" encoding="utf-8"?>
<sst xmlns="http://schemas.openxmlformats.org/spreadsheetml/2006/main" count="796" uniqueCount="348">
  <si>
    <t>System &amp; Asset Identification</t>
  </si>
  <si>
    <t xml:space="preserve">Medical Device / System: </t>
  </si>
  <si>
    <t>Scope:</t>
  </si>
  <si>
    <t>Date:</t>
  </si>
  <si>
    <t xml:space="preserve">Conducted by: </t>
  </si>
  <si>
    <t>ID #</t>
  </si>
  <si>
    <t>Asset Type
(Information/Physical)</t>
  </si>
  <si>
    <t>Asset</t>
  </si>
  <si>
    <t>Asset Description</t>
  </si>
  <si>
    <t>Comments</t>
  </si>
  <si>
    <t>A01</t>
  </si>
  <si>
    <t>A02</t>
  </si>
  <si>
    <t>A03</t>
  </si>
  <si>
    <t>Information asset</t>
  </si>
  <si>
    <t>A04</t>
  </si>
  <si>
    <t>A05</t>
  </si>
  <si>
    <t>A06</t>
  </si>
  <si>
    <t>Information about internals of the system (Device identification, software versions, supported protocols, etc.)</t>
  </si>
  <si>
    <t>A07</t>
  </si>
  <si>
    <t>A08</t>
  </si>
  <si>
    <t>A09</t>
  </si>
  <si>
    <t>A10</t>
  </si>
  <si>
    <t>A11</t>
  </si>
  <si>
    <t>Log Files</t>
  </si>
  <si>
    <t>Security keys, tokens, certificates</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</si>
  <si>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</si>
  <si>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</si>
  <si>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</si>
  <si>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</si>
  <si>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</si>
  <si>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</si>
  <si>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</si>
  <si>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</si>
  <si>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Yes</t>
  </si>
  <si>
    <t>n/a</t>
  </si>
  <si>
    <t>V02</t>
  </si>
  <si>
    <t>V03</t>
  </si>
  <si>
    <t>V04</t>
  </si>
  <si>
    <t>V11</t>
  </si>
  <si>
    <t>V12</t>
  </si>
  <si>
    <t>V13</t>
  </si>
  <si>
    <t>Ineffective patch management</t>
  </si>
  <si>
    <t>Security Operations Manual</t>
  </si>
  <si>
    <t>V14</t>
  </si>
  <si>
    <t>V15</t>
  </si>
  <si>
    <t>V16</t>
  </si>
  <si>
    <t>V17</t>
  </si>
  <si>
    <t>V21</t>
  </si>
  <si>
    <t>V22</t>
  </si>
  <si>
    <t>V23</t>
  </si>
  <si>
    <t>V24</t>
  </si>
  <si>
    <t>V25</t>
  </si>
  <si>
    <t>V26</t>
  </si>
  <si>
    <t>V31</t>
  </si>
  <si>
    <t>No</t>
  </si>
  <si>
    <t>V33</t>
  </si>
  <si>
    <t>V34</t>
  </si>
  <si>
    <t>Log Files: Audit Log Manipulation, Log Injection-Tampering-Forging</t>
  </si>
  <si>
    <t>InSecure Configurations of Resources</t>
  </si>
  <si>
    <t>V41</t>
  </si>
  <si>
    <t xml:space="preserve">Malicious Software Download </t>
  </si>
  <si>
    <t>V42</t>
  </si>
  <si>
    <t>Malicious Automated Software Update</t>
  </si>
  <si>
    <t>Security Risk Assessment</t>
  </si>
  <si>
    <t xml:space="preserve"> </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</si>
  <si>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</si>
  <si>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</si>
  <si>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</si>
  <si>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</si>
  <si>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</si>
  <si>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</si>
  <si>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</si>
  <si>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</si>
  <si>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</si>
  <si>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</si>
  <si>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</si>
  <si>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</si>
  <si>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</si>
  <si>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</si>
  <si>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</si>
  <si>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</si>
  <si>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</si>
  <si>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</si>
  <si>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</si>
  <si>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</si>
  <si>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</si>
  <si>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</si>
  <si>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</si>
  <si>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</si>
  <si>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</si>
  <si>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</si>
  <si>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</si>
  <si>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</si>
  <si>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</si>
  <si>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</si>
  <si>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</si>
  <si>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</si>
  <si>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</si>
  <si>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</si>
  <si>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</si>
  <si>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</si>
  <si>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</si>
  <si>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</si>
  <si>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</si>
  <si>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</si>
  <si>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</si>
  <si>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</si>
  <si>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</si>
  <si>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</si>
  <si>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</si>
  <si>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</si>
  <si>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T01</t>
  </si>
  <si>
    <t>Low</t>
  </si>
  <si>
    <t>Network</t>
  </si>
  <si>
    <t>None</t>
  </si>
  <si>
    <t>Unchanged</t>
  </si>
  <si>
    <t>Changed</t>
  </si>
  <si>
    <t>Local</t>
  </si>
  <si>
    <t>T02</t>
  </si>
  <si>
    <t>High</t>
  </si>
  <si>
    <t>Required</t>
  </si>
  <si>
    <t>Physical</t>
  </si>
  <si>
    <t>T03</t>
  </si>
  <si>
    <t>T05</t>
  </si>
  <si>
    <t>T06</t>
  </si>
  <si>
    <t>Moderate</t>
  </si>
  <si>
    <t>T07</t>
  </si>
  <si>
    <t>T08</t>
  </si>
  <si>
    <t>Threat Assessment</t>
  </si>
  <si>
    <t>#</t>
  </si>
  <si>
    <t xml:space="preserve">Threat Event </t>
  </si>
  <si>
    <t xml:space="preserve">Description </t>
  </si>
  <si>
    <t>Threat Source</t>
  </si>
  <si>
    <t>In Scope (Yes/No)</t>
  </si>
  <si>
    <t>Rationale 
(if out of scope)</t>
  </si>
  <si>
    <t>Deliver undirected malware</t>
  </si>
  <si>
    <t>TSA-3 - Skript Kiddies</t>
  </si>
  <si>
    <t>Deliver directed malware</t>
  </si>
  <si>
    <t xml:space="preserve">
TSA-2 Organization</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</si>
  <si>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</si>
  <si>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</si>
  <si>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T04</t>
  </si>
  <si>
    <t>Adversary gains unauthorized access to the system and removes or modifies application binaries.</t>
  </si>
  <si>
    <t>TSA-1 - Individual (Disgruntled/Ex-Employees, Outsider, Insider, Trusted Insider, Priveleged Insider)</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</si>
  <si>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</si>
  <si>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</si>
  <si>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</si>
  <si>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</si>
  <si>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</si>
  <si>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</si>
  <si>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</si>
  <si>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</si>
  <si>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</si>
  <si>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</si>
  <si>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</si>
  <si>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</si>
  <si>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</si>
  <si>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</si>
  <si>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</si>
  <si>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</si>
  <si>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</si>
  <si>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</si>
  <si>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</si>
  <si>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</si>
  <si>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</si>
  <si>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</si>
  <si>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</si>
  <si>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</si>
  <si>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</si>
  <si>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</si>
  <si>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</si>
  <si>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</si>
  <si>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</si>
  <si>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</si>
  <si>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</si>
  <si>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</si>
  <si>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</si>
  <si>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</si>
  <si>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</si>
  <si>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</si>
  <si>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</si>
  <si>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</si>
  <si>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</si>
  <si>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</si>
  <si>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</si>
  <si>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</si>
  <si>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</si>
  <si>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</si>
  <si>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</si>
  <si>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</si>
  <si>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</si>
  <si>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</si>
  <si>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</si>
  <si>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</si>
  <si>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</si>
  <si>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</si>
  <si>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</si>
  <si>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</si>
  <si>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</si>
  <si>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</si>
  <si>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</si>
  <si>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</si>
  <si>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</si>
  <si>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</si>
  <si>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</si>
  <si>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</si>
  <si>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</si>
  <si>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</si>
  <si>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</si>
  <si>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</si>
  <si>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</si>
  <si>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</si>
  <si>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</si>
  <si>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</si>
  <si>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</si>
  <si>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Possible</t>
  </si>
  <si>
    <t>Feature/Function</t>
  </si>
  <si>
    <t>Risk Controls</t>
  </si>
  <si>
    <t>Knee balancer application</t>
  </si>
  <si>
    <t>V27</t>
  </si>
  <si>
    <t>V28</t>
  </si>
  <si>
    <t>SBOM/SOUP</t>
  </si>
  <si>
    <t>V51</t>
  </si>
  <si>
    <t>V52</t>
  </si>
  <si>
    <t>V53</t>
  </si>
  <si>
    <t>Knee Balancer</t>
  </si>
  <si>
    <t>MAC/iOS operating system</t>
  </si>
  <si>
    <t>Improper Input Validation (allowed range)</t>
  </si>
  <si>
    <t>Absence of application (status/behavior) logs and audit logs</t>
  </si>
  <si>
    <t>No security applications (antivirus, etc..) running in the ipad/iphone</t>
  </si>
  <si>
    <t>V32</t>
  </si>
  <si>
    <t>Application/Communication Management</t>
  </si>
  <si>
    <t xml:space="preserve">Perform wireless perimeter network reconnaissance/scanning. </t>
  </si>
  <si>
    <t>Unauthorized modifications  to Knee Balancer Software</t>
  </si>
  <si>
    <t>Unauthorized access to Knee Balancer App</t>
  </si>
  <si>
    <t>TSA-1 - Individual (Employees, Insider, Trusted Insider/Priveleged Insider)
TSA-3 - Skript Kiddies</t>
  </si>
  <si>
    <t>Lack of OS vulnerability management</t>
  </si>
  <si>
    <t>Application Data Management</t>
  </si>
  <si>
    <t>Untrusted 3rd party applications installation from appstore</t>
  </si>
  <si>
    <t>As Knee Balancer is running on a mobile device, it is important to secure the wireless interfaces on the host such as BT, Wifi. Without restrictions any device can be connected with the host</t>
  </si>
  <si>
    <t>Knee balancer supporting software components (binaries, frameworks, 3rd party components, etc..)</t>
  </si>
  <si>
    <t>If the software components are not protected properly/exposed for access inside the mobile host with unrestricted/unauthorized access, then the modification/tampering of the software can lead to the unavailability of the application</t>
  </si>
  <si>
    <t>If the application access permissions are not properly enforced during the starting of the application, then its become difficult for the application to get protected from the adversary attacks</t>
  </si>
  <si>
    <t>Unauthorized access to app sensitive data (device's keys/certificates/crypto algorithms)</t>
  </si>
  <si>
    <t>&lt;SIVA KUMAR /Security / LTTS&gt;
&lt;Author Name / Function / Organization&gt;</t>
  </si>
  <si>
    <t>Unsafely compiled Application Binaries in Application</t>
  </si>
  <si>
    <t>Corrupting the binaries/injecting malicious source code in Application</t>
  </si>
  <si>
    <t>Data at Rest</t>
  </si>
  <si>
    <t>Data in Transit</t>
  </si>
  <si>
    <t>Sensitive data being transmitted</t>
  </si>
  <si>
    <t>No Static Analysis for developed code &amp; SCA for SOUP in Application</t>
  </si>
  <si>
    <t>Threat source delivers malware on a removable media which was designed to exploit a known vulnerability of the existing Software. Directed attack on the Application using knowledge about the Application.</t>
  </si>
  <si>
    <t>Adversary gains unauthorized access to the system and removes or modifies application configuration and gains access</t>
  </si>
  <si>
    <t>As Knee Balancer is running on a mobile device, it is important to secure the wireless/Network interfaces on the host such as BT, Wifi &amp; charging interface. Without restrictions, any device can be connected with the host &amp; hence affect the application</t>
  </si>
  <si>
    <t>Open/Unrestricted Network interfaces are easy to exploit. Secure and hardened network elements protect the system from attacks. Code validation through static analysis required</t>
  </si>
  <si>
    <t>Improper access/modification of audit log</t>
  </si>
  <si>
    <t xml:space="preserve">Audit log data should be maintained to identify security breaches. With no proper authentication to access the audit logs the content can be modified/deleted. </t>
  </si>
  <si>
    <t>Sensitive information exposure through audit log</t>
  </si>
  <si>
    <t xml:space="preserve">Sensitive information should not be present in the audit log.
Audit log data should be maintained to identify security breaches. With no proper authentication to access the audit logs the content can be modified/deleted. </t>
  </si>
  <si>
    <t>Audit (log) data is considered as a sensitive data. It should be secured with proper access control</t>
  </si>
  <si>
    <t>Sensitive information such as patient name, PHI data should not be revealed through audit log. Audit (log) data is considered as a sensitive data. It should be secured with proper access control</t>
  </si>
  <si>
    <t>Physical asset</t>
  </si>
  <si>
    <t>Knee balancer application is composed of 3rd party applications (binaries, frameworks, 3rd party components, etc..)</t>
  </si>
  <si>
    <t>V29</t>
  </si>
  <si>
    <t>It provides input for the Knee Balancer application to generate solutions using algorithms</t>
  </si>
  <si>
    <t>User identity</t>
  </si>
  <si>
    <t>User tagged with Azure AD credentials for validation</t>
  </si>
  <si>
    <t xml:space="preserve">Data used by the application </t>
  </si>
  <si>
    <t>Log files supporting the application</t>
  </si>
  <si>
    <t>Cloud interface &amp; Storage</t>
  </si>
  <si>
    <t>For storing blobs</t>
  </si>
  <si>
    <t>Improper Storage of Stryker IP data</t>
  </si>
  <si>
    <t>Unrestricted Wifi communication with open/untrusted sources (app update)</t>
  </si>
  <si>
    <t>Unrestricted BT communication/transfer with multiple sources (app update)</t>
  </si>
  <si>
    <t>Ineffective management of user related data (creds)</t>
  </si>
  <si>
    <t xml:space="preserve">Improper Authentication in the application (single factor, no captcha, etc..) </t>
  </si>
  <si>
    <t xml:space="preserve">3rd Party Component Dependency &amp; Vulnerabilities in Application  </t>
  </si>
  <si>
    <t xml:space="preserve">Use of a Broken or Risky Cryptographic Algorithm </t>
  </si>
  <si>
    <t>Insecure Storage of Sensitive Information (Application data)</t>
  </si>
  <si>
    <t xml:space="preserve">Insecure Storage of Sensitive Information (Stryker data - keys, certs, etc.) </t>
  </si>
  <si>
    <t>V05</t>
  </si>
  <si>
    <t>Device deviated from the normal functionality (jailbroken)</t>
  </si>
  <si>
    <t>T09</t>
  </si>
  <si>
    <t xml:space="preserve">Unencrypted sensitive data at rest in all possible locations (Device, Cloud) </t>
  </si>
  <si>
    <t>Information Exposure Through Log Files</t>
  </si>
  <si>
    <t>Blob Storage</t>
  </si>
  <si>
    <t xml:space="preserve">Generating SAS with indefinite time period </t>
  </si>
  <si>
    <t>Improper key management during SAS generation</t>
  </si>
  <si>
    <t>V54</t>
  </si>
  <si>
    <t>V55</t>
  </si>
  <si>
    <t>V56</t>
  </si>
  <si>
    <t>Compromised SAS URL's for blob storage</t>
  </si>
  <si>
    <t>V57</t>
  </si>
  <si>
    <t>Usage of storage account key to access the blob storage</t>
  </si>
  <si>
    <t>Sharing the SAS URL in unsecured channel</t>
  </si>
  <si>
    <t>Improper authorization (RBAC) during blob storage access</t>
  </si>
  <si>
    <t>A12</t>
  </si>
  <si>
    <t>Stryker IP data</t>
  </si>
  <si>
    <t>Algorithms used to generate the solutions</t>
  </si>
  <si>
    <t>T10</t>
  </si>
  <si>
    <t>T11</t>
  </si>
  <si>
    <t xml:space="preserve">Improper access/modification of Stryker IP  data </t>
  </si>
  <si>
    <t>TSA-2 Organization
TSA-3 - Skript Kiddies</t>
  </si>
  <si>
    <t>Improper validation/assessment of 3rd party components (libs, fw, etc..)</t>
  </si>
  <si>
    <t>T12</t>
  </si>
  <si>
    <t>V06</t>
  </si>
  <si>
    <t>Missing data with factory reset</t>
  </si>
  <si>
    <t>T13</t>
  </si>
  <si>
    <t xml:space="preserve">Unpatched operating system </t>
  </si>
  <si>
    <t>Exposed SAS (token/URL/Key) to unauthorized parties</t>
  </si>
  <si>
    <t>T14</t>
  </si>
  <si>
    <t>T15</t>
  </si>
  <si>
    <t>Adversary might gain access to the jailbroken device easily and can harms the application</t>
  </si>
  <si>
    <t>Adversary identifies the binaries/source files supporting the application and tries to tamper for making the app unavailable</t>
  </si>
  <si>
    <t>Unavailability of uploading to Blob storage</t>
  </si>
  <si>
    <t>New data/files can't be stored or moved to the blob storage</t>
  </si>
  <si>
    <t>SAS (token/URL/key) needs to be confidential and should not be revealed to 3rd parties</t>
  </si>
  <si>
    <t>As upload to the blob waits for the device to be online and with factory reset before upload leads to data unavailability</t>
  </si>
  <si>
    <t>Adversary gains unauthorized access to the system and can remove/modify Stryker IP data</t>
  </si>
  <si>
    <t>If the software components are not protected properly or exposed for access inside the mobile host with unrestricted/unauthorized access, then the modification/tampering of the software can lead to the unavailability of the application</t>
  </si>
  <si>
    <t>All 3rd party components (libs, fw, etc…) should be validated properly related to the vulnerabilities and also their history of updates</t>
  </si>
  <si>
    <t xml:space="preserve">App may gets effected if its running on a jailbroken device. Also, adversary can get easy access to the jailbroken devices. </t>
  </si>
  <si>
    <t>Exertion of the confined storage limit</t>
  </si>
  <si>
    <t>For iPad/iPhone, the charging/USB interface is provided &amp; this can be used to connect the OTG devices. Other Network Interfaces can also be used for injecting the malware.</t>
  </si>
  <si>
    <t>Adversary gains unauthorized access to the Crypto keys and associated tokens, certificates</t>
  </si>
  <si>
    <t>Application running on the abnormal device (jailbroken)</t>
  </si>
  <si>
    <t>Unrestricted access to the stored application resources</t>
  </si>
  <si>
    <t xml:space="preserve">Unencrypted sensitive data in transit in all flow channels </t>
  </si>
  <si>
    <t>Keys, tokens and certificates</t>
  </si>
  <si>
    <t>Mobile Device (iPad, iPhone V8-13)</t>
  </si>
  <si>
    <t>&lt;2022-06-08&gt;</t>
  </si>
  <si>
    <t>iPhone/iPad is used for running the knee balancer application (currently V8-13 are supported)</t>
  </si>
  <si>
    <t>The trust boundary of this risk analysis is only permitted to application and hence not considering the mobile device</t>
  </si>
  <si>
    <t>The trust boundary of this risk analysis is only permitted to application and hence not considering the mobile device. Application has no web interface functionality</t>
  </si>
  <si>
    <t>Irregular upload of case data to cloud storage</t>
  </si>
  <si>
    <t>MAKO Screen</t>
  </si>
  <si>
    <t>Knee balancer application leveraging the mobile login credentials and for upload feature Microsoft authentication gets leveraged</t>
  </si>
  <si>
    <t>Weak Encryption Implementation for data at rest and in transit tactical and design wise or Inadequate encryption strength</t>
  </si>
  <si>
    <t>A13</t>
  </si>
  <si>
    <t>Stryker App store</t>
  </si>
  <si>
    <t>For authorized MPS users, Knee Balancer application can be downloaded from stryker app store</t>
  </si>
  <si>
    <t>V07</t>
  </si>
  <si>
    <t>T16</t>
  </si>
  <si>
    <t>Reveal/exposure of sensitive information (Stryker IP data)</t>
  </si>
  <si>
    <t>Open to download (All stryker users) without restriction</t>
  </si>
  <si>
    <t>Only authorized MPS users should allow to download the knee balancer application</t>
  </si>
  <si>
    <t>TSA-1 - Individual (Employees, Insider, Trusted Insider/Priveleged Insider)</t>
  </si>
  <si>
    <t>Exposure of Stryker IP data to unauthorized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</si>
</sst>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theme="1"/>
      <name val="Cambria"/>
      <family val="1"/>
    </font>
    <font>
      <sz val="11"/>
      <color rgb="FF0000FF"/>
      <name val="Cambria"/>
      <family val="1"/>
    </font>
    <font>
      <sz val="11"/>
      <name val="Cambria"/>
      <family val="1"/>
    </font>
    <font>
      <sz val="11"/>
      <color rgb="FFFF0000"/>
      <name val="Cambria"/>
      <family val="1"/>
    </font>
    <font>
      <sz val="8"/>
      <name val="Calibri"/>
      <family val="2"/>
      <scheme val="minor"/>
    </font>
    <font>
      <sz val="11"/>
      <color theme="1"/>
      <name val="Cambria"/>
    </font>
    <font>
      <sz val="11"/>
      <color rgb="FF0000FF"/>
      <name val="Cambria"/>
    </font>
    <font>
      <sz val="11"/>
      <name val="Cambria"/>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4" fillId="0" borderId="0"/>
    <xf numFmtId="0" fontId="38" fillId="0" borderId="0"/>
  </cellStyleXfs>
  <cellXfs count="287">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23" fillId="0" borderId="1" xfId="0" applyFont="1" applyBorder="1" applyAlignment="1">
      <alignment vertical="top"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40" fillId="0" borderId="1" xfId="0" applyFont="1" applyBorder="1" applyAlignment="1">
      <alignment vertical="top"/>
    </xf>
    <xf numFmtId="0" fontId="40" fillId="19" borderId="4" xfId="0" applyFont="1" applyFill="1" applyBorder="1" applyAlignment="1">
      <alignment horizontal="left" vertical="top"/>
    </xf>
    <xf numFmtId="0" fontId="40" fillId="19" borderId="1" xfId="0" applyFont="1" applyFill="1" applyBorder="1" applyAlignment="1">
      <alignment horizontal="left" vertical="top"/>
    </xf>
    <xf numFmtId="0" fontId="40" fillId="19" borderId="1" xfId="0" applyFont="1" applyFill="1" applyBorder="1" applyAlignment="1">
      <alignment horizontal="left" vertical="top" wrapText="1"/>
    </xf>
    <xf numFmtId="0" fontId="40" fillId="0" borderId="1" xfId="0" applyFont="1" applyBorder="1" applyAlignment="1">
      <alignment vertical="top" wrapText="1"/>
    </xf>
    <xf numFmtId="0" fontId="40" fillId="0" borderId="4" xfId="0" applyFont="1" applyBorder="1" applyAlignment="1">
      <alignment vertical="top"/>
    </xf>
    <xf numFmtId="0" fontId="40" fillId="0" borderId="1" xfId="0" applyFont="1" applyBorder="1" applyAlignment="1">
      <alignment horizontal="center" vertical="top"/>
    </xf>
    <xf numFmtId="0" fontId="40" fillId="0" borderId="5" xfId="0" applyFont="1" applyBorder="1" applyAlignment="1">
      <alignment horizontal="center" vertical="top"/>
    </xf>
    <xf numFmtId="0" fontId="40" fillId="0" borderId="5" xfId="0" applyFont="1" applyBorder="1" applyAlignment="1">
      <alignment vertical="top"/>
    </xf>
    <xf numFmtId="0" fontId="40" fillId="15" borderId="5" xfId="0" applyNumberFormat="1" applyFont="1" applyFill="1" applyBorder="1" applyAlignment="1">
      <alignment vertical="top" wrapText="1"/>
    </xf>
    <xf numFmtId="0" fontId="40" fillId="18" borderId="5" xfId="0" applyFont="1" applyFill="1" applyBorder="1" applyAlignment="1">
      <alignment vertical="top"/>
    </xf>
    <xf numFmtId="0" fontId="40" fillId="0" borderId="5" xfId="0" applyFont="1" applyBorder="1" applyAlignment="1">
      <alignment horizontal="center" vertical="center"/>
    </xf>
    <xf numFmtId="0" fontId="40" fillId="19" borderId="5" xfId="0" applyFont="1" applyFill="1" applyBorder="1" applyAlignment="1">
      <alignment horizontal="center" vertical="center" wrapText="1"/>
    </xf>
    <xf numFmtId="164" fontId="40" fillId="15" borderId="5" xfId="0" applyNumberFormat="1" applyFont="1" applyFill="1" applyBorder="1" applyAlignment="1">
      <alignment horizontal="center" vertical="center" wrapText="1"/>
    </xf>
    <xf numFmtId="164" fontId="41" fillId="15" borderId="5" xfId="0" applyNumberFormat="1" applyFont="1" applyFill="1" applyBorder="1" applyAlignment="1">
      <alignment horizontal="center" vertical="center" wrapText="1"/>
    </xf>
    <xf numFmtId="164" fontId="41" fillId="19" borderId="5" xfId="0" applyNumberFormat="1" applyFont="1" applyFill="1" applyBorder="1" applyAlignment="1">
      <alignment horizontal="center" vertical="center" wrapText="1"/>
    </xf>
    <xf numFmtId="0" fontId="40" fillId="0" borderId="5" xfId="0" applyNumberFormat="1" applyFont="1" applyBorder="1" applyAlignment="1">
      <alignment horizontal="center" vertical="top" wrapText="1"/>
    </xf>
    <xf numFmtId="0" fontId="42" fillId="0" borderId="5" xfId="0" applyFont="1" applyBorder="1" applyAlignment="1">
      <alignment vertical="top"/>
    </xf>
    <xf numFmtId="0" fontId="40" fillId="19" borderId="5" xfId="0" applyNumberFormat="1" applyFont="1" applyFill="1" applyBorder="1" applyAlignment="1">
      <alignment horizontal="center" vertical="center" wrapText="1"/>
    </xf>
    <xf numFmtId="0" fontId="41" fillId="22" borderId="5" xfId="0" applyNumberFormat="1" applyFont="1" applyFill="1" applyBorder="1" applyAlignment="1">
      <alignment horizontal="center" vertical="center" wrapText="1"/>
    </xf>
    <xf numFmtId="0" fontId="15" fillId="0" borderId="1" xfId="0" applyFont="1" applyBorder="1" applyAlignment="1">
      <alignment horizontal="left" vertical="top" wrapText="1"/>
    </xf>
    <xf numFmtId="0" fontId="40" fillId="0" borderId="5" xfId="0" applyFont="1" applyBorder="1" applyAlignment="1">
      <alignment vertical="top" wrapText="1"/>
    </xf>
    <xf numFmtId="0" fontId="23" fillId="0" borderId="1" xfId="3" applyFont="1" applyBorder="1" applyAlignment="1">
      <alignment vertical="center" wrapText="1"/>
    </xf>
    <xf numFmtId="0" fontId="3" fillId="0" borderId="1" xfId="0" applyFont="1" applyBorder="1" applyAlignment="1">
      <alignment vertical="top" wrapText="1"/>
    </xf>
    <xf numFmtId="0" fontId="43" fillId="19" borderId="1" xfId="0" applyFont="1" applyFill="1" applyBorder="1" applyAlignment="1">
      <alignment horizontal="left" vertical="top"/>
    </xf>
    <xf numFmtId="0" fontId="15" fillId="0" borderId="1" xfId="0" applyFont="1" applyFill="1" applyBorder="1" applyAlignment="1">
      <alignment horizontal="left" vertical="top" wrapText="1"/>
    </xf>
    <xf numFmtId="0" fontId="15" fillId="0" borderId="4" xfId="0" applyFont="1" applyFill="1" applyBorder="1" applyAlignment="1">
      <alignment vertical="top"/>
    </xf>
    <xf numFmtId="0" fontId="45" fillId="0" borderId="4" xfId="0" applyFont="1" applyBorder="1" applyAlignment="1">
      <alignment vertical="top"/>
    </xf>
    <xf numFmtId="0" fontId="45" fillId="0" borderId="1" xfId="0" applyFont="1" applyBorder="1" applyAlignment="1">
      <alignment vertical="top"/>
    </xf>
    <xf numFmtId="0" fontId="45" fillId="0" borderId="1" xfId="0" applyFont="1" applyBorder="1" applyAlignment="1">
      <alignment vertical="top" wrapText="1"/>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applyFont="1" applyBorder="1" applyAlignment="1">
      <alignment horizontal="center" vertical="top"/>
    </xf>
    <xf numFmtId="0" fontId="45" fillId="0" borderId="1" xfId="0" applyFont="1" applyBorder="1" applyAlignment="1">
      <alignment horizontal="center" vertical="top"/>
    </xf>
    <xf numFmtId="0" fontId="45" fillId="15" borderId="1" xfId="0" applyNumberFormat="1" applyFont="1" applyFill="1" applyBorder="1" applyAlignment="1">
      <alignment vertical="top" wrapText="1"/>
    </xf>
    <xf numFmtId="0" fontId="45" fillId="18" borderId="1" xfId="0" applyFont="1" applyFill="1" applyBorder="1" applyAlignment="1">
      <alignment vertical="top"/>
    </xf>
    <xf numFmtId="0" fontId="45" fillId="0" borderId="1" xfId="0" applyFont="1" applyBorder="1" applyAlignment="1">
      <alignment horizontal="center" vertical="center"/>
    </xf>
    <xf numFmtId="0" fontId="45" fillId="19" borderId="1" xfId="0" applyFont="1" applyFill="1" applyBorder="1" applyAlignment="1">
      <alignment horizontal="center" vertical="center" wrapText="1"/>
    </xf>
    <xf numFmtId="164" fontId="45" fillId="15" borderId="1" xfId="0" applyNumberFormat="1"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164" fontId="46" fillId="19" borderId="1" xfId="0" applyNumberFormat="1" applyFont="1" applyFill="1" applyBorder="1" applyAlignment="1">
      <alignment horizontal="center" vertical="center" wrapText="1"/>
    </xf>
    <xf numFmtId="0" fontId="45" fillId="0" borderId="1" xfId="0" applyNumberFormat="1" applyFont="1" applyBorder="1" applyAlignment="1">
      <alignment horizontal="center" vertical="top" wrapText="1"/>
    </xf>
    <xf numFmtId="0" fontId="47" fillId="0" borderId="1" xfId="0" applyFont="1" applyBorder="1" applyAlignment="1">
      <alignment vertical="top"/>
    </xf>
    <xf numFmtId="0" fontId="45" fillId="19" borderId="1" xfId="0" applyNumberFormat="1" applyFont="1" applyFill="1" applyBorder="1" applyAlignment="1">
      <alignment horizontal="center" vertical="center" wrapText="1"/>
    </xf>
    <xf numFmtId="0" fontId="46" fillId="22" borderId="1" xfId="0" applyNumberFormat="1" applyFont="1" applyFill="1" applyBorder="1" applyAlignment="1">
      <alignment horizontal="center" vertical="center" wrapText="1"/>
    </xf>
    <xf numFmtId="0" fontId="45" fillId="0" borderId="5" xfId="0" applyFont="1" applyBorder="1" applyAlignment="1">
      <alignment horizontal="center" vertical="top"/>
    </xf>
    <xf numFmtId="0" fontId="45" fillId="0" borderId="5" xfId="0" applyFont="1" applyBorder="1" applyAlignment="1">
      <alignment vertical="top"/>
    </xf>
    <xf numFmtId="0" fontId="45" fillId="15" borderId="5" xfId="0" applyNumberFormat="1" applyFont="1" applyFill="1" applyBorder="1" applyAlignment="1">
      <alignment vertical="top" wrapText="1"/>
    </xf>
    <xf numFmtId="0" fontId="45" fillId="18" borderId="5" xfId="0" applyFont="1" applyFill="1" applyBorder="1" applyAlignment="1">
      <alignment vertical="top"/>
    </xf>
    <xf numFmtId="0" fontId="45" fillId="0" borderId="5" xfId="0" applyFont="1" applyBorder="1" applyAlignment="1">
      <alignment horizontal="center" vertical="center"/>
    </xf>
    <xf numFmtId="0" fontId="45" fillId="19" borderId="5" xfId="0" applyFont="1" applyFill="1" applyBorder="1" applyAlignment="1">
      <alignment horizontal="center" vertical="center" wrapText="1"/>
    </xf>
    <xf numFmtId="164" fontId="45" fillId="15" borderId="5" xfId="0" applyNumberFormat="1" applyFont="1" applyFill="1" applyBorder="1" applyAlignment="1">
      <alignment horizontal="center" vertical="center" wrapText="1"/>
    </xf>
    <xf numFmtId="164" fontId="46" fillId="15" borderId="5" xfId="0" applyNumberFormat="1" applyFont="1" applyFill="1" applyBorder="1" applyAlignment="1">
      <alignment horizontal="center" vertical="center" wrapText="1"/>
    </xf>
    <xf numFmtId="164" fontId="46" fillId="19" borderId="5" xfId="0" applyNumberFormat="1" applyFont="1" applyFill="1" applyBorder="1" applyAlignment="1">
      <alignment horizontal="center" vertical="center" wrapText="1"/>
    </xf>
    <xf numFmtId="0" fontId="45" fillId="0" borderId="5" xfId="0" applyNumberFormat="1" applyFont="1" applyBorder="1" applyAlignment="1">
      <alignment horizontal="center" vertical="top" wrapText="1"/>
    </xf>
    <xf numFmtId="0" fontId="47" fillId="0" borderId="5" xfId="0" applyFont="1" applyBorder="1" applyAlignment="1">
      <alignment vertical="top"/>
    </xf>
    <xf numFmtId="0" fontId="45" fillId="19" borderId="5" xfId="0" applyNumberFormat="1" applyFont="1" applyFill="1" applyBorder="1" applyAlignment="1">
      <alignment horizontal="center" vertical="center" wrapText="1"/>
    </xf>
    <xf numFmtId="0" fontId="46" fillId="22" borderId="5" xfId="0" applyNumberFormat="1" applyFont="1" applyFill="1" applyBorder="1" applyAlignment="1">
      <alignment horizontal="center" vertical="center" wrapText="1"/>
    </xf>
    <xf numFmtId="0" fontId="15" fillId="18" borderId="5" xfId="0" applyFont="1" applyFill="1" applyBorder="1" applyAlignment="1">
      <alignment vertical="top"/>
    </xf>
    <xf numFmtId="0" fontId="45" fillId="0" borderId="5" xfId="0" applyFont="1" applyBorder="1" applyAlignment="1">
      <alignment vertical="top" wrapText="1"/>
    </xf>
    <xf numFmtId="0" fontId="15" fillId="0" borderId="2" xfId="0" applyFont="1" applyBorder="1" applyAlignment="1">
      <alignment vertical="top" wrapText="1"/>
    </xf>
    <xf numFmtId="0" fontId="45" fillId="19" borderId="1" xfId="0" applyFont="1" applyFill="1" applyBorder="1" applyAlignment="1">
      <alignment horizontal="left" vertical="top" wrapText="1"/>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3">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2" dataDxfId="180" headerRowBorderDxfId="181" tableBorderDxfId="179" totalsRowBorderDxfId="178">
  <autoFilter ref="A9:E22" xr:uid="{00000000-0009-0000-0100-000003000000}"/>
  <tableColumns count="5">
    <tableColumn id="1" xr3:uid="{00000000-0010-0000-0000-000001000000}" name="ID #" dataDxfId="177"/>
    <tableColumn id="2" xr3:uid="{00000000-0010-0000-0000-000002000000}" name="Asset Type_x000a_(Information/Physical)" dataDxfId="176"/>
    <tableColumn id="3" xr3:uid="{00000000-0010-0000-0000-000003000000}" name="Asset" dataDxfId="175"/>
    <tableColumn id="4" xr3:uid="{00000000-0010-0000-0000-000004000000}" name="Asset Description" dataDxfId="174"/>
    <tableColumn id="5" xr3:uid="{00000000-0010-0000-0000-000005000000}" name="Comments" dataDxfId="17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64" totalsRowShown="0" headerRowDxfId="172" dataDxfId="170" headerRowBorderDxfId="171" tableBorderDxfId="169" totalsRowBorderDxfId="168">
  <autoFilter ref="A4:D64" xr:uid="{00000000-0009-0000-0100-000002000000}"/>
  <tableColumns count="4">
    <tableColumn id="1" xr3:uid="{00000000-0010-0000-0100-000001000000}" name="Vuln. ID" dataDxfId="167"/>
    <tableColumn id="4" xr3:uid="{00000000-0010-0000-0100-000004000000}" name="Vulnerability Description" dataDxfId="166"/>
    <tableColumn id="5" xr3:uid="{00000000-0010-0000-0100-000005000000}" name="Applicable (Yes/No)" dataDxfId="165"/>
    <tableColumn id="6" xr3:uid="{00000000-0010-0000-0100-000006000000}" name="Rationale (if Vulnerability not applicable)" dataDxfId="16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3" dataDxfId="161" headerRowBorderDxfId="162" tableBorderDxfId="160" totalsRowBorderDxfId="159">
  <autoFilter ref="A3:F19" xr:uid="{00000000-0009-0000-0100-000005000000}"/>
  <tableColumns count="6">
    <tableColumn id="1" xr3:uid="{00000000-0010-0000-0200-000001000000}" name="#" dataDxfId="158"/>
    <tableColumn id="2" xr3:uid="{00000000-0010-0000-0200-000002000000}" name="Threat Event " dataDxfId="157"/>
    <tableColumn id="3" xr3:uid="{00000000-0010-0000-0200-000003000000}" name="Description " dataDxfId="156"/>
    <tableColumn id="4" xr3:uid="{00000000-0010-0000-0200-000004000000}" name="Threat Source" dataDxfId="155"/>
    <tableColumn id="5" xr3:uid="{00000000-0010-0000-0200-000005000000}" name="In Scope (Yes/No)" dataDxfId="154"/>
    <tableColumn id="13" xr3:uid="{00000000-0010-0000-0200-00000D000000}" name="Rationale _x000a_(if out of scope)" dataDxfId="15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47" dataDxfId="146" tableBorderDxfId="145">
  <autoFilter ref="A4:AQ24" xr:uid="{00000000-0009-0000-0100-000004000000}"/>
  <tableColumns count="43">
    <tableColumn id="1" xr3:uid="{00000000-0010-0000-0300-000001000000}" name="_x000a_ID #" dataDxfId="144" totalsRowDxfId="143"/>
    <tableColumn id="23" xr3:uid="{00000000-0010-0000-0300-000017000000}" name="T ID" dataDxfId="142" totalsRowDxfId="141"/>
    <tableColumn id="2" xr3:uid="{00000000-0010-0000-0300-000002000000}" name="Threat Event(s)" dataDxfId="140" totalsRowDxfId="139">
      <calculatedColumnFormula>IF(VLOOKUP(Table4[[#This Row],[T ID]],Table5[#All],5,FALSE)="No","Not in scope",VLOOKUP(Table4[[#This Row],[T ID]],Table5[#All],2,FALSE))</calculatedColumnFormula>
    </tableColumn>
    <tableColumn id="22" xr3:uid="{00000000-0010-0000-0300-000016000000}" name="V ID" dataDxfId="138" totalsRowDxfId="137"/>
    <tableColumn id="3" xr3:uid="{00000000-0010-0000-0300-000003000000}" name="Vulnerabilities" dataDxfId="136" totalsRowDxfId="135">
      <calculatedColumnFormula>IF(VLOOKUP(Table4[[#This Row],[V ID]],Vulnerabilities[#All],3,FALSE)="No","Not in scope",VLOOKUP(Table4[[#This Row],[V ID]],Vulnerabilities[#All],2,FALSE))</calculatedColumnFormula>
    </tableColumn>
    <tableColumn id="24" xr3:uid="{00000000-0010-0000-0300-000018000000}" name="A ID" dataDxfId="134" totalsRowDxfId="133"/>
    <tableColumn id="4" xr3:uid="{00000000-0010-0000-0300-000004000000}" name="Asset" dataDxfId="132" totalsRowDxfId="131">
      <calculatedColumnFormula>VLOOKUP(Table4[[#This Row],[A ID]],Assets[#All],3,FALSE)</calculatedColumnFormula>
    </tableColumn>
    <tableColumn id="5" xr3:uid="{00000000-0010-0000-0300-000005000000}" name="Impact Description" dataDxfId="130" totalsRowDxfId="129"/>
    <tableColumn id="7" xr3:uid="{00000000-0010-0000-0300-000007000000}" name="Safety Impact _x000a_(Risk ID# or N/A)" dataDxfId="128" totalsRowDxfId="127"/>
    <tableColumn id="26" xr3:uid="{00000000-0010-0000-0300-00001A000000}" name="Confidentiality" dataDxfId="126" totalsRowDxfId="125"/>
    <tableColumn id="25" xr3:uid="{00000000-0010-0000-0300-000019000000}" name="Integrity" dataDxfId="124" totalsRowDxfId="123"/>
    <tableColumn id="21" xr3:uid="{00000000-0010-0000-0300-000015000000}" name="Availability" dataDxfId="122" totalsRowDxfId="121"/>
    <tableColumn id="44" xr3:uid="{00000000-0010-0000-0300-00002C000000}" name="Attack Vector" dataDxfId="120" totalsRowDxfId="119"/>
    <tableColumn id="45" xr3:uid="{00000000-0010-0000-0300-00002D000000}" name="Attack Complexity" dataDxfId="118" totalsRowDxfId="117"/>
    <tableColumn id="46" xr3:uid="{00000000-0010-0000-0300-00002E000000}" name="Privileges Required" dataDxfId="116" totalsRowDxfId="115"/>
    <tableColumn id="47" xr3:uid="{00000000-0010-0000-0300-00002F000000}" name="User Interaction" dataDxfId="114" totalsRowDxfId="113"/>
    <tableColumn id="43" xr3:uid="{00000000-0010-0000-0300-00002B000000}" name="Scope" dataDxfId="112" totalsRowDxfId="111"/>
    <tableColumn id="48" xr3:uid="{00000000-0010-0000-0300-000030000000}" name="Exploitability Sub Score" dataDxfId="110" totalsRowDxfId="10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08" totalsRowDxfId="10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06" totalsRowDxfId="10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04" totalsRowDxfId="10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02"/>
    <tableColumn id="33" xr3:uid="{00000000-0010-0000-0300-000021000000}" name="Threat Event Initiation_x000a_Score" dataDxfId="101" totalsRowDxfId="100">
      <calculatedColumnFormula>VLOOKUP(Table4[[#This Row],[Threat Event Initiation]],NIST_Scale_LOAI[],2,FALSE)</calculatedColumnFormula>
    </tableColumn>
    <tableColumn id="10" xr3:uid="{00000000-0010-0000-0300-00000A000000}" name="Overall Risk Score" dataDxfId="99" totalsRowDxfId="9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97" totalsRowDxfId="9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95" totalsRowDxfId="94"/>
    <tableColumn id="14" xr3:uid="{00000000-0010-0000-0300-00000E000000}" name="Implementation of Risk Control Measures " dataDxfId="93" totalsRowDxfId="92"/>
    <tableColumn id="15" xr3:uid="{00000000-0010-0000-0300-00000F000000}" name="Verification of Risk Control Measures (Effectiveness)" dataDxfId="91" totalsRowDxfId="90"/>
    <tableColumn id="13" xr3:uid="{00000000-0010-0000-0300-00000D000000}" name="ConfidentialityP" dataDxfId="89" totalsRowDxfId="88"/>
    <tableColumn id="27" xr3:uid="{00000000-0010-0000-0300-00001B000000}" name="IntegrityP" dataDxfId="87" totalsRowDxfId="86"/>
    <tableColumn id="28" xr3:uid="{00000000-0010-0000-0300-00001C000000}" name="AvailabilityP" dataDxfId="85" totalsRowDxfId="84"/>
    <tableColumn id="8" xr3:uid="{00000000-0010-0000-0300-000008000000}" name="Attack VectorP" dataDxfId="83" totalsRowDxfId="82"/>
    <tableColumn id="29" xr3:uid="{00000000-0010-0000-0300-00001D000000}" name="Attack ComplexityP" dataDxfId="81" totalsRowDxfId="80"/>
    <tableColumn id="30" xr3:uid="{00000000-0010-0000-0300-00001E000000}" name="Privileges RequiredP" dataDxfId="79" totalsRowDxfId="78"/>
    <tableColumn id="31" xr3:uid="{00000000-0010-0000-0300-00001F000000}" name="User InteractionP" dataDxfId="77"/>
    <tableColumn id="36" xr3:uid="{00000000-0010-0000-0300-000024000000}" name="ScopeP" dataDxfId="76" totalsRowDxfId="75"/>
    <tableColumn id="35" xr3:uid="{00000000-0010-0000-0300-000023000000}" name="Exploitability Sub ScoreP" dataDxfId="74" totalsRowDxfId="7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72" totalsRowDxfId="7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70" totalsRowDxfId="6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68" totalsRowDxfId="6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66" totalsRowDxfId="6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64" totalsRowDxfId="6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62" totalsRowDxfId="6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45" dataDxfId="44" tableBorderDxfId="43">
  <tableColumns count="13">
    <tableColumn id="1" xr3:uid="{00000000-0010-0000-0400-000001000000}" name="_x000a_ID #" dataDxfId="42" totalsRowDxfId="41">
      <calculatedColumnFormula>Table4[[#This Row],[
ID '#]]</calculatedColumnFormula>
    </tableColumn>
    <tableColumn id="23" xr3:uid="{00000000-0010-0000-0400-000017000000}" name="T ID" dataDxfId="40" totalsRowDxfId="39">
      <calculatedColumnFormula>IF(Table4[[#This Row],[A ID]]&gt;0,Table4[[#This Row],[T ID]],"")</calculatedColumnFormula>
    </tableColumn>
    <tableColumn id="2" xr3:uid="{00000000-0010-0000-0400-000002000000}" name="Threat Event(s)" dataDxfId="38" totalsRowDxfId="37">
      <calculatedColumnFormula>Table4[[#This Row],[Threat Event(s)]]</calculatedColumnFormula>
    </tableColumn>
    <tableColumn id="22" xr3:uid="{00000000-0010-0000-0400-000016000000}" name="V ID" dataDxfId="36" totalsRowDxfId="35">
      <calculatedColumnFormula>IF(Table4[[#This Row],[V ID]]&gt;0,Table4[[#This Row],[V ID]],"")</calculatedColumnFormula>
    </tableColumn>
    <tableColumn id="3" xr3:uid="{00000000-0010-0000-0400-000003000000}" name="Vulnerabilities" dataDxfId="34" totalsRowDxfId="33">
      <calculatedColumnFormula>Table4[[#This Row],[Vulnerabilities]]</calculatedColumnFormula>
    </tableColumn>
    <tableColumn id="24" xr3:uid="{00000000-0010-0000-0400-000018000000}" name="A ID" dataDxfId="32" totalsRowDxfId="31">
      <calculatedColumnFormula>IF(Table4[[#This Row],[A ID]]&gt;0,Table4[[#This Row],[A ID]],"")</calculatedColumnFormula>
    </tableColumn>
    <tableColumn id="4" xr3:uid="{00000000-0010-0000-0400-000004000000}" name="Assets" dataDxfId="30" totalsRowDxfId="29">
      <calculatedColumnFormula>Table4[[#This Row],[Asset]]</calculatedColumnFormula>
    </tableColumn>
    <tableColumn id="5" xr3:uid="{00000000-0010-0000-0400-000005000000}" name="Impact Description" dataDxfId="28" totalsRowDxfId="27">
      <calculatedColumnFormula>IF(Table4[[#This Row],[Impact Description]]&gt;0,Table4[[#This Row],[Impact Description]],"")</calculatedColumnFormula>
    </tableColumn>
    <tableColumn id="7" xr3:uid="{00000000-0010-0000-0400-000007000000}" name="Safety Impact _x000a_(Risk ID# or N/A)" dataDxfId="26" totalsRowDxfId="25">
      <calculatedColumnFormula>IF(Table4[[#This Row],[Safety Impact 
(Risk ID'# or N/A)]]&gt;0,Table4[[#This Row],[Safety Impact 
(Risk ID'# or N/A)]],"")</calculatedColumnFormula>
    </tableColumn>
    <tableColumn id="11" xr3:uid="{00000000-0010-0000-0400-00000B000000}" name="Pre-Controls _x000a_Risk Level" dataDxfId="24" totalsRowDxfId="23">
      <calculatedColumnFormula>Table4[[#This Row],[Security 
Risk 
Level]]</calculatedColumnFormula>
    </tableColumn>
    <tableColumn id="12" xr3:uid="{00000000-0010-0000-0400-00000C000000}" name="Security Risk Control Measures" dataDxfId="22" totalsRowDxfId="21">
      <calculatedColumnFormula>IF(Table4[[#This Row],[Security Risk Control Measures]]&gt;0,Table4[[#This Row],[Security Risk Control Measures]],"")</calculatedColumnFormula>
    </tableColumn>
    <tableColumn id="50" xr3:uid="{00000000-0010-0000-0400-000032000000}" name="Post-Controls Risk Level" dataDxfId="20" totalsRowDxfId="19">
      <calculatedColumnFormula>Table4[[#This Row],[Security Risk LevelP]]</calculatedColumnFormula>
    </tableColumn>
    <tableColumn id="20" xr3:uid="{00000000-0010-0000-0400-000014000000}" name="Residual Security Risk Acceptability Justification" dataDxfId="18" totalsRowDxfId="17">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16" dataDxfId="15" tableBorderDxfId="14">
  <autoFilter ref="Q4:R10" xr:uid="{00000000-0009-0000-0100-000006000000}"/>
  <tableColumns count="2">
    <tableColumn id="1" xr3:uid="{00000000-0010-0000-0500-000001000000}" name="Rating" dataDxfId="13"/>
    <tableColumn id="2" xr3:uid="{00000000-0010-0000-0500-000002000000}" name="Score" dataDxfId="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11" dataDxfId="10" tableBorderDxfId="9">
  <autoFilter ref="A4:C10" xr:uid="{00000000-0009-0000-0100-000007000000}"/>
  <tableColumns count="3">
    <tableColumn id="1" xr3:uid="{00000000-0010-0000-0600-000001000000}" name="ID#" dataDxfId="8"/>
    <tableColumn id="2" xr3:uid="{00000000-0010-0000-0600-000002000000}" name="Threat Source" dataDxfId="7"/>
    <tableColumn id="3" xr3:uid="{00000000-0010-0000-0600-000003000000}" name="In Scope (Y/N)" dataDxfId="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5" dataDxfId="4" tableBorderDxfId="3">
  <autoFilter ref="E4:G10" xr:uid="{00000000-0009-0000-0100-000008000000}"/>
  <tableColumns count="3">
    <tableColumn id="1" xr3:uid="{00000000-0010-0000-0700-000001000000}" name="ID#" dataDxfId="2"/>
    <tableColumn id="2" xr3:uid="{00000000-0010-0000-0700-000002000000}" name="Source" dataDxfId="1"/>
    <tableColumn id="3" xr3:uid="{00000000-0010-0000-0700-000003000000}" name="In Scope (Y/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opLeftCell="A7" zoomScale="90" zoomScaleNormal="90" workbookViewId="0">
      <selection activeCell="C22" sqref="C22"/>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47" t="s">
        <v>225</v>
      </c>
      <c r="D3" s="247"/>
    </row>
    <row r="4" spans="1:5" s="28" customFormat="1">
      <c r="A4" s="31" t="s">
        <v>2</v>
      </c>
      <c r="B4" s="32"/>
      <c r="C4" s="247"/>
      <c r="D4" s="247"/>
    </row>
    <row r="5" spans="1:5" s="28" customFormat="1">
      <c r="A5" s="31" t="s">
        <v>3</v>
      </c>
      <c r="B5" s="32"/>
      <c r="C5" s="247" t="s">
        <v>330</v>
      </c>
      <c r="D5" s="247"/>
    </row>
    <row r="6" spans="1:5" s="28" customFormat="1" ht="30" customHeight="1">
      <c r="A6" s="33" t="s">
        <v>4</v>
      </c>
      <c r="B6" s="34"/>
      <c r="C6" s="247" t="s">
        <v>244</v>
      </c>
      <c r="D6" s="247"/>
    </row>
    <row r="7" spans="1:5" s="28" customFormat="1"/>
    <row r="8" spans="1:5" s="28" customFormat="1"/>
    <row r="9" spans="1:5" s="28" customFormat="1" ht="28.5">
      <c r="A9" s="35" t="s">
        <v>5</v>
      </c>
      <c r="B9" s="36" t="s">
        <v>6</v>
      </c>
      <c r="C9" s="36" t="s">
        <v>7</v>
      </c>
      <c r="D9" s="37" t="s">
        <v>8</v>
      </c>
      <c r="E9" s="169" t="s">
        <v>9</v>
      </c>
    </row>
    <row r="10" spans="1:5" s="28" customFormat="1" ht="28.5">
      <c r="A10" s="38" t="s">
        <v>10</v>
      </c>
      <c r="B10" s="39" t="s">
        <v>261</v>
      </c>
      <c r="C10" s="178" t="s">
        <v>329</v>
      </c>
      <c r="D10" s="178" t="s">
        <v>331</v>
      </c>
      <c r="E10" s="178"/>
    </row>
    <row r="11" spans="1:5" s="28" customFormat="1">
      <c r="A11" s="38" t="s">
        <v>11</v>
      </c>
      <c r="B11" s="39" t="s">
        <v>13</v>
      </c>
      <c r="C11" s="178" t="s">
        <v>265</v>
      </c>
      <c r="D11" s="205" t="s">
        <v>266</v>
      </c>
      <c r="E11" s="178"/>
    </row>
    <row r="12" spans="1:5" s="28" customFormat="1" ht="42.75">
      <c r="A12" s="38" t="s">
        <v>12</v>
      </c>
      <c r="B12" s="39" t="s">
        <v>13</v>
      </c>
      <c r="C12" s="178" t="s">
        <v>218</v>
      </c>
      <c r="D12" s="178" t="s">
        <v>262</v>
      </c>
      <c r="E12" s="178"/>
    </row>
    <row r="13" spans="1:5" s="28" customFormat="1" ht="42.75">
      <c r="A13" s="38" t="s">
        <v>14</v>
      </c>
      <c r="B13" s="39" t="s">
        <v>13</v>
      </c>
      <c r="C13" s="178" t="s">
        <v>226</v>
      </c>
      <c r="D13" s="178" t="s">
        <v>17</v>
      </c>
      <c r="E13" s="178"/>
    </row>
    <row r="14" spans="1:5" s="28" customFormat="1" ht="42.75">
      <c r="A14" s="38" t="s">
        <v>15</v>
      </c>
      <c r="B14" s="39" t="s">
        <v>13</v>
      </c>
      <c r="C14" s="41" t="s">
        <v>240</v>
      </c>
      <c r="D14" s="178" t="s">
        <v>262</v>
      </c>
      <c r="E14" s="178"/>
    </row>
    <row r="15" spans="1:5" s="28" customFormat="1" ht="28.5">
      <c r="A15" s="38" t="s">
        <v>16</v>
      </c>
      <c r="B15" s="39" t="s">
        <v>13</v>
      </c>
      <c r="C15" s="178" t="s">
        <v>335</v>
      </c>
      <c r="D15" s="178" t="s">
        <v>264</v>
      </c>
      <c r="E15" s="178"/>
    </row>
    <row r="16" spans="1:5" s="28" customFormat="1">
      <c r="A16" s="38" t="s">
        <v>18</v>
      </c>
      <c r="B16" s="39" t="s">
        <v>13</v>
      </c>
      <c r="C16" s="205" t="s">
        <v>23</v>
      </c>
      <c r="D16" s="205" t="s">
        <v>268</v>
      </c>
      <c r="E16" s="178"/>
    </row>
    <row r="17" spans="1:8" s="28" customFormat="1">
      <c r="A17" s="38" t="s">
        <v>19</v>
      </c>
      <c r="B17" s="39" t="s">
        <v>13</v>
      </c>
      <c r="C17" s="207" t="s">
        <v>24</v>
      </c>
      <c r="D17" s="178" t="s">
        <v>328</v>
      </c>
      <c r="E17" s="178"/>
    </row>
    <row r="18" spans="1:8">
      <c r="A18" s="38" t="s">
        <v>20</v>
      </c>
      <c r="B18" s="40" t="s">
        <v>13</v>
      </c>
      <c r="C18" s="41" t="s">
        <v>247</v>
      </c>
      <c r="D18" s="178" t="s">
        <v>267</v>
      </c>
      <c r="E18" s="208"/>
    </row>
    <row r="19" spans="1:8">
      <c r="A19" s="38" t="s">
        <v>21</v>
      </c>
      <c r="B19" s="40" t="s">
        <v>13</v>
      </c>
      <c r="C19" s="41" t="s">
        <v>248</v>
      </c>
      <c r="D19" s="178" t="s">
        <v>249</v>
      </c>
      <c r="E19" s="208"/>
    </row>
    <row r="20" spans="1:8">
      <c r="A20" s="38" t="s">
        <v>22</v>
      </c>
      <c r="B20" s="40" t="s">
        <v>13</v>
      </c>
      <c r="C20" s="50" t="s">
        <v>269</v>
      </c>
      <c r="D20" s="178" t="s">
        <v>270</v>
      </c>
      <c r="E20" s="208"/>
    </row>
    <row r="21" spans="1:8">
      <c r="A21" s="38" t="s">
        <v>296</v>
      </c>
      <c r="B21" s="40" t="s">
        <v>13</v>
      </c>
      <c r="C21" s="50" t="s">
        <v>297</v>
      </c>
      <c r="D21" s="178" t="s">
        <v>298</v>
      </c>
      <c r="E21" s="208"/>
    </row>
    <row r="22" spans="1:8" ht="28.5">
      <c r="A22" s="38" t="s">
        <v>338</v>
      </c>
      <c r="B22" s="40" t="s">
        <v>13</v>
      </c>
      <c r="C22" s="50" t="s">
        <v>339</v>
      </c>
      <c r="D22" s="178" t="s">
        <v>340</v>
      </c>
      <c r="E22" s="208"/>
    </row>
    <row r="30" spans="1:8">
      <c r="A30" s="26" t="s">
        <v>25</v>
      </c>
    </row>
    <row r="31" spans="1:8" ht="34.5" customHeight="1">
      <c r="B31" s="248" t="s">
        <v>26</v>
      </c>
      <c r="C31" s="248"/>
      <c r="D31" s="180"/>
      <c r="E31" s="180"/>
      <c r="F31" s="180"/>
      <c r="G31" s="180"/>
      <c r="H31" s="180"/>
    </row>
    <row r="33" spans="2:2">
      <c r="B33" s="28"/>
    </row>
  </sheetData>
  <mergeCells count="5">
    <mergeCell ref="C3:D3"/>
    <mergeCell ref="C4:D4"/>
    <mergeCell ref="C5:D5"/>
    <mergeCell ref="C6:D6"/>
    <mergeCell ref="B31:C31"/>
  </mergeCells>
  <phoneticPr fontId="44"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topLeftCell="A16" zoomScaleNormal="100" workbookViewId="0">
      <selection activeCell="B31" sqref="B31"/>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27</v>
      </c>
    </row>
    <row r="2" spans="1:4" s="42" customFormat="1" ht="15" customHeight="1">
      <c r="A2" s="27"/>
    </row>
    <row r="3" spans="1:4" s="42" customFormat="1" ht="14.25" hidden="1"/>
    <row r="4" spans="1:4" s="42" customFormat="1" ht="14.25">
      <c r="A4" s="43" t="s">
        <v>28</v>
      </c>
      <c r="B4" s="44" t="s">
        <v>29</v>
      </c>
      <c r="C4" s="44" t="s">
        <v>30</v>
      </c>
      <c r="D4" s="44" t="s">
        <v>31</v>
      </c>
    </row>
    <row r="5" spans="1:4" s="42" customFormat="1" ht="57">
      <c r="A5" s="45" t="s">
        <v>32</v>
      </c>
      <c r="B5" s="46" t="s">
        <v>274</v>
      </c>
      <c r="C5" s="178" t="s">
        <v>54</v>
      </c>
      <c r="D5" s="178" t="s">
        <v>336</v>
      </c>
    </row>
    <row r="6" spans="1:4" s="42" customFormat="1" ht="57">
      <c r="A6" s="47" t="s">
        <v>35</v>
      </c>
      <c r="B6" s="46" t="s">
        <v>275</v>
      </c>
      <c r="C6" s="178" t="s">
        <v>54</v>
      </c>
      <c r="D6" s="178" t="s">
        <v>336</v>
      </c>
    </row>
    <row r="7" spans="1:4" s="42" customFormat="1" ht="14.25">
      <c r="A7" s="47" t="s">
        <v>36</v>
      </c>
      <c r="B7" s="48" t="s">
        <v>227</v>
      </c>
      <c r="C7" s="178" t="s">
        <v>33</v>
      </c>
      <c r="D7" s="178" t="s">
        <v>34</v>
      </c>
    </row>
    <row r="8" spans="1:4" s="42" customFormat="1" ht="14.25">
      <c r="A8" s="47" t="s">
        <v>37</v>
      </c>
      <c r="B8" s="48" t="s">
        <v>271</v>
      </c>
      <c r="C8" s="178" t="s">
        <v>33</v>
      </c>
      <c r="D8" s="178" t="s">
        <v>34</v>
      </c>
    </row>
    <row r="9" spans="1:4" s="42" customFormat="1" ht="14.25">
      <c r="A9" s="212" t="s">
        <v>280</v>
      </c>
      <c r="B9" s="213" t="s">
        <v>281</v>
      </c>
      <c r="C9" s="214" t="s">
        <v>33</v>
      </c>
      <c r="D9" s="178" t="s">
        <v>34</v>
      </c>
    </row>
    <row r="10" spans="1:4" s="42" customFormat="1" ht="14.25">
      <c r="A10" s="212" t="s">
        <v>305</v>
      </c>
      <c r="B10" s="184" t="s">
        <v>334</v>
      </c>
      <c r="C10" s="214" t="s">
        <v>33</v>
      </c>
      <c r="D10" s="178" t="s">
        <v>34</v>
      </c>
    </row>
    <row r="11" spans="1:4" s="42" customFormat="1" ht="14.25">
      <c r="A11" s="212" t="s">
        <v>341</v>
      </c>
      <c r="B11" s="246" t="s">
        <v>343</v>
      </c>
      <c r="C11" s="214" t="s">
        <v>33</v>
      </c>
      <c r="D11" s="178" t="s">
        <v>34</v>
      </c>
    </row>
    <row r="12" spans="1:4" s="42" customFormat="1" ht="14.25">
      <c r="A12" s="49" t="s">
        <v>221</v>
      </c>
      <c r="B12" s="49"/>
      <c r="C12" s="49"/>
      <c r="D12" s="49"/>
    </row>
    <row r="13" spans="1:4" s="42" customFormat="1" ht="14.25">
      <c r="A13" s="50" t="s">
        <v>38</v>
      </c>
      <c r="B13" s="50" t="s">
        <v>308</v>
      </c>
      <c r="C13" s="178" t="s">
        <v>54</v>
      </c>
      <c r="D13" s="48" t="s">
        <v>42</v>
      </c>
    </row>
    <row r="14" spans="1:4" s="42" customFormat="1" ht="14.25">
      <c r="A14" s="47" t="s">
        <v>39</v>
      </c>
      <c r="B14" s="48" t="s">
        <v>245</v>
      </c>
      <c r="C14" s="178" t="s">
        <v>33</v>
      </c>
      <c r="D14" s="48" t="s">
        <v>34</v>
      </c>
    </row>
    <row r="15" spans="1:4" s="42" customFormat="1" ht="14.25">
      <c r="A15" s="47" t="s">
        <v>40</v>
      </c>
      <c r="B15" s="50" t="s">
        <v>41</v>
      </c>
      <c r="C15" s="178" t="s">
        <v>54</v>
      </c>
      <c r="D15" s="48" t="s">
        <v>42</v>
      </c>
    </row>
    <row r="16" spans="1:4" s="42" customFormat="1" ht="14.25">
      <c r="A16" s="47" t="s">
        <v>43</v>
      </c>
      <c r="B16" s="50" t="s">
        <v>236</v>
      </c>
      <c r="C16" s="178" t="s">
        <v>54</v>
      </c>
      <c r="D16" s="48" t="s">
        <v>42</v>
      </c>
    </row>
    <row r="17" spans="1:4" s="42" customFormat="1" ht="14.25">
      <c r="A17" s="47" t="s">
        <v>44</v>
      </c>
      <c r="B17" s="48" t="s">
        <v>276</v>
      </c>
      <c r="C17" s="178" t="s">
        <v>33</v>
      </c>
      <c r="D17" s="48" t="s">
        <v>34</v>
      </c>
    </row>
    <row r="18" spans="1:4" s="42" customFormat="1" ht="14.25">
      <c r="A18" s="47" t="s">
        <v>45</v>
      </c>
      <c r="B18" s="178" t="s">
        <v>326</v>
      </c>
      <c r="C18" s="178" t="s">
        <v>33</v>
      </c>
      <c r="D18" s="48" t="s">
        <v>34</v>
      </c>
    </row>
    <row r="19" spans="1:4" s="42" customFormat="1" ht="14.25">
      <c r="A19" s="47" t="s">
        <v>46</v>
      </c>
      <c r="B19" s="48" t="s">
        <v>250</v>
      </c>
      <c r="C19" s="178" t="s">
        <v>33</v>
      </c>
      <c r="D19" s="48" t="s">
        <v>34</v>
      </c>
    </row>
    <row r="20" spans="1:4" s="42" customFormat="1" ht="14.25">
      <c r="A20" s="49" t="s">
        <v>237</v>
      </c>
      <c r="B20" s="49"/>
      <c r="C20" s="49"/>
      <c r="D20" s="49"/>
    </row>
    <row r="21" spans="1:4" s="42" customFormat="1" ht="14.25">
      <c r="A21" s="50" t="s">
        <v>47</v>
      </c>
      <c r="B21" s="178" t="s">
        <v>283</v>
      </c>
      <c r="C21" s="178" t="s">
        <v>33</v>
      </c>
      <c r="D21" s="48" t="s">
        <v>34</v>
      </c>
    </row>
    <row r="22" spans="1:4" s="42" customFormat="1" ht="14.25">
      <c r="A22" s="50" t="s">
        <v>48</v>
      </c>
      <c r="B22" s="178" t="s">
        <v>327</v>
      </c>
      <c r="C22" s="178" t="s">
        <v>33</v>
      </c>
      <c r="D22" s="48" t="s">
        <v>34</v>
      </c>
    </row>
    <row r="23" spans="1:4" s="42" customFormat="1" ht="28.5">
      <c r="A23" s="50" t="s">
        <v>49</v>
      </c>
      <c r="B23" s="178" t="s">
        <v>337</v>
      </c>
      <c r="C23" s="178" t="s">
        <v>33</v>
      </c>
      <c r="D23" s="48" t="s">
        <v>34</v>
      </c>
    </row>
    <row r="24" spans="1:4" s="42" customFormat="1" ht="14.25">
      <c r="A24" s="50" t="s">
        <v>50</v>
      </c>
      <c r="B24" s="178" t="s">
        <v>277</v>
      </c>
      <c r="C24" s="178" t="s">
        <v>33</v>
      </c>
      <c r="D24" s="48" t="s">
        <v>34</v>
      </c>
    </row>
    <row r="25" spans="1:4" s="42" customFormat="1" ht="14.25">
      <c r="A25" s="47" t="s">
        <v>51</v>
      </c>
      <c r="B25" s="178" t="s">
        <v>284</v>
      </c>
      <c r="C25" s="178" t="s">
        <v>33</v>
      </c>
      <c r="D25" s="48" t="s">
        <v>34</v>
      </c>
    </row>
    <row r="26" spans="1:4" s="42" customFormat="1" ht="14.25">
      <c r="A26" s="47" t="s">
        <v>52</v>
      </c>
      <c r="B26" s="48" t="s">
        <v>228</v>
      </c>
      <c r="C26" s="178" t="s">
        <v>33</v>
      </c>
      <c r="D26" s="48" t="s">
        <v>34</v>
      </c>
    </row>
    <row r="27" spans="1:4" s="42" customFormat="1" ht="14.25">
      <c r="A27" s="47" t="s">
        <v>219</v>
      </c>
      <c r="B27" s="48" t="s">
        <v>57</v>
      </c>
      <c r="C27" s="178" t="s">
        <v>33</v>
      </c>
      <c r="D27" s="48" t="s">
        <v>34</v>
      </c>
    </row>
    <row r="28" spans="1:4" s="42" customFormat="1" ht="14.25">
      <c r="A28" s="47" t="s">
        <v>220</v>
      </c>
      <c r="B28" s="48" t="s">
        <v>278</v>
      </c>
      <c r="C28" s="178" t="s">
        <v>33</v>
      </c>
      <c r="D28" s="48" t="s">
        <v>34</v>
      </c>
    </row>
    <row r="29" spans="1:4" s="42" customFormat="1" ht="14.25">
      <c r="A29" s="190" t="s">
        <v>263</v>
      </c>
      <c r="B29" s="48" t="s">
        <v>279</v>
      </c>
      <c r="C29" s="189" t="s">
        <v>33</v>
      </c>
      <c r="D29" s="48" t="s">
        <v>34</v>
      </c>
    </row>
    <row r="30" spans="1:4" s="42" customFormat="1" ht="14.25">
      <c r="A30" s="167" t="s">
        <v>231</v>
      </c>
      <c r="B30" s="168"/>
      <c r="C30" s="168"/>
      <c r="D30" s="168"/>
    </row>
    <row r="31" spans="1:4" s="42" customFormat="1" ht="14.25">
      <c r="A31" s="186" t="s">
        <v>53</v>
      </c>
      <c r="B31" s="187" t="s">
        <v>238</v>
      </c>
      <c r="C31" s="178" t="s">
        <v>54</v>
      </c>
      <c r="D31" s="48" t="s">
        <v>42</v>
      </c>
    </row>
    <row r="32" spans="1:4" s="42" customFormat="1" ht="14.25">
      <c r="A32" s="186" t="s">
        <v>230</v>
      </c>
      <c r="B32" s="188" t="s">
        <v>229</v>
      </c>
      <c r="C32" s="178" t="s">
        <v>54</v>
      </c>
      <c r="D32" s="48" t="s">
        <v>42</v>
      </c>
    </row>
    <row r="33" spans="1:4" s="42" customFormat="1" ht="14.25">
      <c r="A33" s="186" t="s">
        <v>55</v>
      </c>
      <c r="B33" s="210" t="s">
        <v>272</v>
      </c>
      <c r="C33" s="178" t="s">
        <v>54</v>
      </c>
      <c r="D33" s="48" t="s">
        <v>42</v>
      </c>
    </row>
    <row r="34" spans="1:4" s="42" customFormat="1" ht="14.25">
      <c r="A34" s="186" t="s">
        <v>56</v>
      </c>
      <c r="B34" s="210" t="s">
        <v>273</v>
      </c>
      <c r="C34" s="178" t="s">
        <v>54</v>
      </c>
      <c r="D34" s="48" t="s">
        <v>42</v>
      </c>
    </row>
    <row r="35" spans="1:4" s="42" customFormat="1" ht="14.25">
      <c r="A35" s="167" t="s">
        <v>58</v>
      </c>
      <c r="B35" s="168"/>
      <c r="C35" s="168"/>
      <c r="D35" s="168"/>
    </row>
    <row r="36" spans="1:4" s="42" customFormat="1" ht="14.25">
      <c r="A36" s="211" t="s">
        <v>59</v>
      </c>
      <c r="B36" s="48" t="s">
        <v>60</v>
      </c>
      <c r="C36" s="178" t="s">
        <v>54</v>
      </c>
      <c r="D36" s="48" t="s">
        <v>42</v>
      </c>
    </row>
    <row r="37" spans="1:4" s="42" customFormat="1" ht="14.25">
      <c r="A37" s="211" t="s">
        <v>61</v>
      </c>
      <c r="B37" s="51" t="s">
        <v>62</v>
      </c>
      <c r="C37" s="178" t="s">
        <v>54</v>
      </c>
      <c r="D37" s="48" t="s">
        <v>42</v>
      </c>
    </row>
    <row r="38" spans="1:4">
      <c r="A38" s="167" t="s">
        <v>285</v>
      </c>
      <c r="B38" s="168"/>
      <c r="C38" s="168"/>
      <c r="D38" s="168"/>
    </row>
    <row r="39" spans="1:4">
      <c r="A39" s="183" t="s">
        <v>222</v>
      </c>
      <c r="B39" s="184" t="s">
        <v>286</v>
      </c>
      <c r="C39" s="178" t="s">
        <v>33</v>
      </c>
      <c r="D39" s="48" t="s">
        <v>34</v>
      </c>
    </row>
    <row r="40" spans="1:4">
      <c r="A40" s="183" t="s">
        <v>223</v>
      </c>
      <c r="B40" s="183" t="s">
        <v>287</v>
      </c>
      <c r="C40" s="178" t="s">
        <v>33</v>
      </c>
      <c r="D40" s="48" t="s">
        <v>34</v>
      </c>
    </row>
    <row r="41" spans="1:4">
      <c r="A41" s="183" t="s">
        <v>224</v>
      </c>
      <c r="B41" s="184" t="s">
        <v>291</v>
      </c>
      <c r="C41" s="178" t="s">
        <v>33</v>
      </c>
      <c r="D41" s="48" t="s">
        <v>34</v>
      </c>
    </row>
    <row r="42" spans="1:4">
      <c r="A42" s="183" t="s">
        <v>288</v>
      </c>
      <c r="B42" s="184" t="s">
        <v>322</v>
      </c>
      <c r="C42" s="178" t="s">
        <v>33</v>
      </c>
      <c r="D42" s="48" t="s">
        <v>34</v>
      </c>
    </row>
    <row r="43" spans="1:4">
      <c r="A43" s="183" t="s">
        <v>289</v>
      </c>
      <c r="B43" s="184" t="s">
        <v>295</v>
      </c>
      <c r="C43" s="178" t="s">
        <v>33</v>
      </c>
      <c r="D43" s="48" t="s">
        <v>34</v>
      </c>
    </row>
    <row r="44" spans="1:4">
      <c r="A44" s="183" t="s">
        <v>290</v>
      </c>
      <c r="B44" s="184" t="s">
        <v>293</v>
      </c>
      <c r="C44" s="178" t="s">
        <v>33</v>
      </c>
      <c r="D44" s="48" t="s">
        <v>34</v>
      </c>
    </row>
    <row r="45" spans="1:4">
      <c r="A45" s="183" t="s">
        <v>292</v>
      </c>
      <c r="B45" s="184" t="s">
        <v>294</v>
      </c>
      <c r="C45" s="178" t="s">
        <v>33</v>
      </c>
      <c r="D45" s="48" t="s">
        <v>34</v>
      </c>
    </row>
    <row r="46" spans="1:4">
      <c r="A46" s="186"/>
      <c r="B46" s="184" t="s">
        <v>64</v>
      </c>
      <c r="C46" s="187"/>
      <c r="D46" s="187"/>
    </row>
    <row r="47" spans="1:4">
      <c r="A47" s="186"/>
      <c r="B47" s="213"/>
      <c r="C47" s="187"/>
      <c r="D47" s="187"/>
    </row>
    <row r="48" spans="1:4">
      <c r="A48" s="186"/>
      <c r="B48" s="187"/>
      <c r="C48" s="187"/>
      <c r="D48" s="187"/>
    </row>
    <row r="49" spans="1:4">
      <c r="A49" s="186"/>
      <c r="B49" s="187"/>
      <c r="C49" s="187"/>
      <c r="D49" s="187"/>
    </row>
    <row r="50" spans="1:4">
      <c r="A50" s="186"/>
      <c r="B50" s="209"/>
      <c r="C50" s="187"/>
      <c r="D50" s="187"/>
    </row>
    <row r="51" spans="1:4">
      <c r="A51" s="186"/>
      <c r="B51" s="209"/>
      <c r="C51" s="187"/>
      <c r="D51" s="187"/>
    </row>
    <row r="52" spans="1:4">
      <c r="A52" s="186"/>
      <c r="B52" s="209"/>
      <c r="C52" s="187"/>
      <c r="D52" s="187"/>
    </row>
    <row r="53" spans="1:4">
      <c r="A53" s="183"/>
      <c r="B53"/>
      <c r="C53" s="184"/>
      <c r="D53" s="184"/>
    </row>
    <row r="54" spans="1:4">
      <c r="A54" s="183"/>
      <c r="B54"/>
      <c r="C54" s="184"/>
      <c r="D54" s="184"/>
    </row>
    <row r="55" spans="1:4">
      <c r="A55" s="183"/>
      <c r="B55"/>
      <c r="C55" s="184"/>
      <c r="D55" s="184"/>
    </row>
    <row r="56" spans="1:4">
      <c r="A56" s="183"/>
      <c r="B56"/>
      <c r="C56" s="184"/>
      <c r="D56" s="184"/>
    </row>
    <row r="57" spans="1:4">
      <c r="A57" s="183"/>
      <c r="B57"/>
      <c r="C57" s="184"/>
      <c r="D57" s="184"/>
    </row>
    <row r="58" spans="1:4">
      <c r="A58" s="183"/>
      <c r="B58"/>
      <c r="C58" s="184"/>
      <c r="D58" s="184"/>
    </row>
    <row r="59" spans="1:4">
      <c r="A59" s="183"/>
      <c r="B59"/>
      <c r="C59" s="184"/>
      <c r="D59" s="184"/>
    </row>
    <row r="60" spans="1:4">
      <c r="A60" s="183"/>
      <c r="B60"/>
      <c r="C60" s="184"/>
      <c r="D60" s="184"/>
    </row>
    <row r="61" spans="1:4">
      <c r="A61" s="183"/>
      <c r="B61"/>
      <c r="C61" s="184"/>
      <c r="D61" s="184"/>
    </row>
    <row r="62" spans="1:4">
      <c r="A62" s="183"/>
      <c r="B62"/>
      <c r="C62" s="184"/>
      <c r="D62" s="184"/>
    </row>
    <row r="63" spans="1:4">
      <c r="A63" s="183"/>
      <c r="B63" s="209"/>
      <c r="C63" s="184"/>
      <c r="D63" s="184"/>
    </row>
    <row r="64" spans="1:4">
      <c r="A64" s="186"/>
      <c r="B64" s="187"/>
      <c r="C64" s="187"/>
      <c r="D64" s="187"/>
    </row>
    <row r="65" spans="1:4">
      <c r="A65" s="26" t="s">
        <v>25</v>
      </c>
      <c r="B65" s="42"/>
      <c r="C65" s="42"/>
      <c r="D65" s="42"/>
    </row>
    <row r="66" spans="1:4" ht="31.5">
      <c r="A66" s="42"/>
      <c r="B66" s="180" t="s">
        <v>26</v>
      </c>
      <c r="C66" s="180"/>
      <c r="D66" s="180"/>
    </row>
    <row r="67" spans="1:4">
      <c r="A67" s="42"/>
      <c r="B67" s="42"/>
      <c r="C67" s="42"/>
      <c r="D67" s="42"/>
    </row>
  </sheetData>
  <phoneticPr fontId="44"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8"/>
  <sheetViews>
    <sheetView tabSelected="1" topLeftCell="A16" zoomScale="90" zoomScaleNormal="90" workbookViewId="0">
      <selection activeCell="C18" sqref="C18"/>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128</v>
      </c>
      <c r="E1" s="52"/>
    </row>
    <row r="2" spans="1:6" s="42" customFormat="1" ht="14.25">
      <c r="E2" s="52"/>
    </row>
    <row r="3" spans="1:6" s="42" customFormat="1" ht="28.5">
      <c r="A3" s="53" t="s">
        <v>129</v>
      </c>
      <c r="B3" s="53" t="s">
        <v>130</v>
      </c>
      <c r="C3" s="53" t="s">
        <v>131</v>
      </c>
      <c r="D3" s="53" t="s">
        <v>132</v>
      </c>
      <c r="E3" s="53" t="s">
        <v>133</v>
      </c>
      <c r="F3" s="54" t="s">
        <v>134</v>
      </c>
    </row>
    <row r="4" spans="1:6" s="60" customFormat="1" ht="71.25">
      <c r="A4" s="171" t="s">
        <v>111</v>
      </c>
      <c r="B4" s="55" t="s">
        <v>135</v>
      </c>
      <c r="C4" s="56" t="s">
        <v>323</v>
      </c>
      <c r="D4" s="172" t="s">
        <v>235</v>
      </c>
      <c r="E4" s="57" t="s">
        <v>54</v>
      </c>
      <c r="F4" s="245" t="s">
        <v>332</v>
      </c>
    </row>
    <row r="5" spans="1:6" s="42" customFormat="1" ht="71.25">
      <c r="A5" s="171" t="s">
        <v>118</v>
      </c>
      <c r="B5" s="55" t="s">
        <v>137</v>
      </c>
      <c r="C5" s="56" t="s">
        <v>251</v>
      </c>
      <c r="D5" s="172" t="s">
        <v>138</v>
      </c>
      <c r="E5" s="57" t="s">
        <v>54</v>
      </c>
      <c r="F5" s="245" t="s">
        <v>332</v>
      </c>
    </row>
    <row r="6" spans="1:6" s="42" customFormat="1" ht="99.75">
      <c r="A6" s="171" t="s">
        <v>122</v>
      </c>
      <c r="B6" s="55" t="s">
        <v>232</v>
      </c>
      <c r="C6" s="55" t="s">
        <v>140</v>
      </c>
      <c r="D6" s="172" t="s">
        <v>136</v>
      </c>
      <c r="E6" s="57" t="s">
        <v>54</v>
      </c>
      <c r="F6" s="245" t="s">
        <v>333</v>
      </c>
    </row>
    <row r="7" spans="1:6" s="42" customFormat="1" ht="57">
      <c r="A7" s="171" t="s">
        <v>141</v>
      </c>
      <c r="B7" s="178" t="s">
        <v>233</v>
      </c>
      <c r="C7" s="61" t="s">
        <v>142</v>
      </c>
      <c r="D7" s="172" t="s">
        <v>143</v>
      </c>
      <c r="E7" s="57" t="s">
        <v>33</v>
      </c>
      <c r="F7" s="59" t="s">
        <v>34</v>
      </c>
    </row>
    <row r="8" spans="1:6" s="42" customFormat="1" ht="42.75">
      <c r="A8" s="51" t="s">
        <v>123</v>
      </c>
      <c r="B8" s="51" t="s">
        <v>234</v>
      </c>
      <c r="C8" s="41" t="s">
        <v>252</v>
      </c>
      <c r="D8" s="41" t="s">
        <v>136</v>
      </c>
      <c r="E8" s="170" t="s">
        <v>33</v>
      </c>
      <c r="F8" s="59" t="s">
        <v>34</v>
      </c>
    </row>
    <row r="9" spans="1:6" s="42" customFormat="1" ht="28.5">
      <c r="A9" s="51" t="s">
        <v>124</v>
      </c>
      <c r="B9" s="178" t="s">
        <v>243</v>
      </c>
      <c r="C9" s="178" t="s">
        <v>324</v>
      </c>
      <c r="D9" s="48" t="s">
        <v>136</v>
      </c>
      <c r="E9" s="57" t="s">
        <v>33</v>
      </c>
      <c r="F9" s="59" t="s">
        <v>34</v>
      </c>
    </row>
    <row r="10" spans="1:6" s="42" customFormat="1" ht="57">
      <c r="A10" s="51" t="s">
        <v>126</v>
      </c>
      <c r="B10" s="185" t="s">
        <v>257</v>
      </c>
      <c r="C10" s="189" t="s">
        <v>260</v>
      </c>
      <c r="D10" s="41" t="s">
        <v>143</v>
      </c>
      <c r="E10" s="191" t="s">
        <v>33</v>
      </c>
      <c r="F10" s="59" t="s">
        <v>34</v>
      </c>
    </row>
    <row r="11" spans="1:6" s="42" customFormat="1" ht="57">
      <c r="A11" s="51" t="s">
        <v>127</v>
      </c>
      <c r="B11" s="51" t="s">
        <v>255</v>
      </c>
      <c r="C11" s="178" t="s">
        <v>259</v>
      </c>
      <c r="D11" s="41" t="s">
        <v>143</v>
      </c>
      <c r="E11" s="170" t="s">
        <v>33</v>
      </c>
      <c r="F11" s="59" t="s">
        <v>34</v>
      </c>
    </row>
    <row r="12" spans="1:6" s="42" customFormat="1" ht="42.75">
      <c r="A12" s="48" t="s">
        <v>282</v>
      </c>
      <c r="B12" s="178" t="s">
        <v>246</v>
      </c>
      <c r="C12" s="178" t="s">
        <v>313</v>
      </c>
      <c r="D12" s="48" t="s">
        <v>136</v>
      </c>
      <c r="E12" s="57" t="s">
        <v>33</v>
      </c>
      <c r="F12" s="59" t="s">
        <v>34</v>
      </c>
    </row>
    <row r="13" spans="1:6" s="42" customFormat="1" ht="39.6" customHeight="1">
      <c r="A13" s="48" t="s">
        <v>299</v>
      </c>
      <c r="B13" s="213" t="s">
        <v>301</v>
      </c>
      <c r="C13" s="61" t="s">
        <v>318</v>
      </c>
      <c r="D13" s="172" t="s">
        <v>302</v>
      </c>
      <c r="E13" s="57" t="s">
        <v>33</v>
      </c>
      <c r="F13" s="59" t="s">
        <v>34</v>
      </c>
    </row>
    <row r="14" spans="1:6" s="42" customFormat="1" ht="42.75">
      <c r="A14" s="48" t="s">
        <v>300</v>
      </c>
      <c r="B14" s="214" t="s">
        <v>303</v>
      </c>
      <c r="C14" s="214" t="s">
        <v>320</v>
      </c>
      <c r="D14" s="172" t="s">
        <v>138</v>
      </c>
      <c r="E14" s="57" t="s">
        <v>33</v>
      </c>
      <c r="F14" s="59" t="s">
        <v>34</v>
      </c>
    </row>
    <row r="15" spans="1:6" s="42" customFormat="1" ht="30.6" customHeight="1">
      <c r="A15" s="48" t="s">
        <v>304</v>
      </c>
      <c r="B15" s="213" t="s">
        <v>325</v>
      </c>
      <c r="C15" s="214" t="s">
        <v>312</v>
      </c>
      <c r="D15" s="172" t="s">
        <v>138</v>
      </c>
      <c r="E15" s="57" t="s">
        <v>33</v>
      </c>
      <c r="F15" s="59" t="s">
        <v>34</v>
      </c>
    </row>
    <row r="16" spans="1:6" s="42" customFormat="1" ht="57">
      <c r="A16" s="48" t="s">
        <v>307</v>
      </c>
      <c r="B16" s="231" t="s">
        <v>306</v>
      </c>
      <c r="C16" s="244" t="s">
        <v>317</v>
      </c>
      <c r="D16" s="41" t="s">
        <v>143</v>
      </c>
      <c r="E16" s="57" t="s">
        <v>33</v>
      </c>
      <c r="F16" s="59" t="s">
        <v>34</v>
      </c>
    </row>
    <row r="17" spans="1:6" s="42" customFormat="1" ht="28.5">
      <c r="A17" s="48" t="s">
        <v>310</v>
      </c>
      <c r="B17" s="231" t="s">
        <v>309</v>
      </c>
      <c r="C17" s="244" t="s">
        <v>316</v>
      </c>
      <c r="D17" s="48" t="s">
        <v>136</v>
      </c>
      <c r="E17" s="57" t="s">
        <v>33</v>
      </c>
      <c r="F17" s="59" t="s">
        <v>34</v>
      </c>
    </row>
    <row r="18" spans="1:6" s="42" customFormat="1" ht="28.5">
      <c r="A18" s="48" t="s">
        <v>311</v>
      </c>
      <c r="B18" s="231" t="s">
        <v>314</v>
      </c>
      <c r="C18" s="244" t="s">
        <v>315</v>
      </c>
      <c r="D18" s="48" t="s">
        <v>136</v>
      </c>
      <c r="E18" s="57" t="s">
        <v>33</v>
      </c>
      <c r="F18" s="59" t="s">
        <v>34</v>
      </c>
    </row>
    <row r="19" spans="1:6" s="42" customFormat="1" ht="42.75">
      <c r="A19" s="48" t="s">
        <v>342</v>
      </c>
      <c r="B19" s="231" t="s">
        <v>344</v>
      </c>
      <c r="C19" s="244" t="s">
        <v>345</v>
      </c>
      <c r="D19" s="244" t="s">
        <v>346</v>
      </c>
      <c r="E19" s="230" t="s">
        <v>33</v>
      </c>
      <c r="F19" s="59" t="s">
        <v>34</v>
      </c>
    </row>
    <row r="20" spans="1:6" s="42" customFormat="1" ht="14.25">
      <c r="A20" s="215"/>
      <c r="B20" s="215"/>
      <c r="C20" s="216"/>
      <c r="D20" s="216"/>
      <c r="E20" s="217"/>
      <c r="F20" s="215"/>
    </row>
    <row r="21" spans="1:6" s="42" customFormat="1" ht="14.25">
      <c r="A21" s="26" t="s">
        <v>25</v>
      </c>
      <c r="E21" s="52"/>
    </row>
    <row r="22" spans="1:6" s="42" customFormat="1" ht="30.95" customHeight="1">
      <c r="B22" s="248" t="s">
        <v>26</v>
      </c>
      <c r="C22" s="248"/>
      <c r="D22" s="248"/>
      <c r="E22" s="180"/>
      <c r="F22" s="180"/>
    </row>
    <row r="23" spans="1:6" s="42" customFormat="1" ht="14.25">
      <c r="E23" s="52"/>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sheetData>
  <mergeCells count="1">
    <mergeCell ref="B22:D22"/>
  </mergeCells>
  <phoneticPr fontId="44"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1"/>
  <sheetViews>
    <sheetView zoomScale="80" zoomScaleNormal="80" workbookViewId="0">
      <pane xSplit="7" ySplit="4" topLeftCell="H5" activePane="bottomRight" state="frozen"/>
      <selection pane="topRight" activeCell="H1" sqref="H1"/>
      <selection pane="bottomLeft" activeCell="A5" sqref="A5"/>
      <selection pane="bottomRight" activeCell="C26" sqref="C26"/>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7"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23.140625"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63</v>
      </c>
      <c r="J1" s="90"/>
      <c r="K1" s="90"/>
      <c r="L1" s="90"/>
    </row>
    <row r="2" spans="1:45" s="62" customFormat="1" ht="14.25">
      <c r="A2" s="62" t="s">
        <v>64</v>
      </c>
      <c r="J2" s="90"/>
      <c r="K2" s="90"/>
      <c r="L2" s="90"/>
    </row>
    <row r="3" spans="1:45" s="62" customFormat="1" ht="23.25" customHeight="1">
      <c r="A3" s="63"/>
      <c r="B3" s="64"/>
      <c r="C3" s="64"/>
      <c r="D3" s="65"/>
      <c r="E3" s="66"/>
      <c r="F3" s="255" t="s">
        <v>65</v>
      </c>
      <c r="G3" s="255"/>
      <c r="H3" s="255"/>
      <c r="I3" s="255"/>
      <c r="J3" s="256" t="s">
        <v>66</v>
      </c>
      <c r="K3" s="257"/>
      <c r="L3" s="257"/>
      <c r="M3" s="257"/>
      <c r="N3" s="257"/>
      <c r="O3" s="257"/>
      <c r="P3" s="257"/>
      <c r="Q3" s="257"/>
      <c r="R3" s="257"/>
      <c r="S3" s="257"/>
      <c r="T3" s="257"/>
      <c r="U3" s="257"/>
      <c r="V3" s="257"/>
      <c r="W3" s="257"/>
      <c r="X3" s="257"/>
      <c r="Y3" s="258"/>
      <c r="Z3" s="252" t="s">
        <v>67</v>
      </c>
      <c r="AA3" s="253"/>
      <c r="AB3" s="254"/>
      <c r="AC3" s="249" t="s">
        <v>68</v>
      </c>
      <c r="AD3" s="250"/>
      <c r="AE3" s="250"/>
      <c r="AF3" s="250"/>
      <c r="AG3" s="250"/>
      <c r="AH3" s="250"/>
      <c r="AI3" s="250"/>
      <c r="AJ3" s="250"/>
      <c r="AK3" s="250"/>
      <c r="AL3" s="250"/>
      <c r="AM3" s="250"/>
      <c r="AN3" s="250"/>
      <c r="AO3" s="250"/>
      <c r="AP3" s="250"/>
      <c r="AQ3" s="251"/>
      <c r="AR3" s="67"/>
      <c r="AS3" s="67"/>
    </row>
    <row r="4" spans="1:45" s="62" customFormat="1" ht="59.1" customHeight="1">
      <c r="A4" s="68" t="s">
        <v>69</v>
      </c>
      <c r="B4" s="69" t="s">
        <v>70</v>
      </c>
      <c r="C4" s="70" t="s">
        <v>71</v>
      </c>
      <c r="D4" s="71" t="s">
        <v>72</v>
      </c>
      <c r="E4" s="72" t="s">
        <v>73</v>
      </c>
      <c r="F4" s="73" t="s">
        <v>74</v>
      </c>
      <c r="G4" s="74" t="s">
        <v>7</v>
      </c>
      <c r="H4" s="74" t="s">
        <v>75</v>
      </c>
      <c r="I4" s="75" t="s">
        <v>76</v>
      </c>
      <c r="J4" s="147" t="s">
        <v>77</v>
      </c>
      <c r="K4" s="147" t="s">
        <v>78</v>
      </c>
      <c r="L4" s="147" t="s">
        <v>79</v>
      </c>
      <c r="M4" s="144" t="s">
        <v>80</v>
      </c>
      <c r="N4" s="144" t="s">
        <v>81</v>
      </c>
      <c r="O4" s="144" t="s">
        <v>82</v>
      </c>
      <c r="P4" s="144" t="s">
        <v>83</v>
      </c>
      <c r="Q4" s="144" t="s">
        <v>84</v>
      </c>
      <c r="R4" s="144" t="s">
        <v>85</v>
      </c>
      <c r="S4" s="144" t="s">
        <v>86</v>
      </c>
      <c r="T4" s="144" t="s">
        <v>87</v>
      </c>
      <c r="U4" s="144" t="s">
        <v>88</v>
      </c>
      <c r="V4" s="148" t="s">
        <v>89</v>
      </c>
      <c r="W4" s="148" t="s">
        <v>90</v>
      </c>
      <c r="X4" s="149" t="s">
        <v>91</v>
      </c>
      <c r="Y4" s="150" t="s">
        <v>92</v>
      </c>
      <c r="Z4" s="143" t="s">
        <v>93</v>
      </c>
      <c r="AA4" s="143" t="s">
        <v>94</v>
      </c>
      <c r="AB4" s="143" t="s">
        <v>95</v>
      </c>
      <c r="AC4" s="151" t="s">
        <v>96</v>
      </c>
      <c r="AD4" s="151" t="s">
        <v>97</v>
      </c>
      <c r="AE4" s="151" t="s">
        <v>98</v>
      </c>
      <c r="AF4" s="152" t="s">
        <v>99</v>
      </c>
      <c r="AG4" s="152" t="s">
        <v>100</v>
      </c>
      <c r="AH4" s="152" t="s">
        <v>101</v>
      </c>
      <c r="AI4" s="152" t="s">
        <v>102</v>
      </c>
      <c r="AJ4" s="152" t="s">
        <v>103</v>
      </c>
      <c r="AK4" s="152" t="s">
        <v>104</v>
      </c>
      <c r="AL4" s="152" t="s">
        <v>105</v>
      </c>
      <c r="AM4" s="152" t="s">
        <v>106</v>
      </c>
      <c r="AN4" s="152" t="s">
        <v>107</v>
      </c>
      <c r="AO4" s="152" t="s">
        <v>108</v>
      </c>
      <c r="AP4" s="152" t="s">
        <v>109</v>
      </c>
      <c r="AQ4" s="165" t="s">
        <v>110</v>
      </c>
      <c r="AR4" s="67"/>
      <c r="AS4" s="67"/>
    </row>
    <row r="5" spans="1:45" s="42" customFormat="1" ht="99.75">
      <c r="A5" s="57">
        <v>1</v>
      </c>
      <c r="B5" s="48" t="s">
        <v>111</v>
      </c>
      <c r="C5" s="76" t="str">
        <f>IF(VLOOKUP(Table4[[#This Row],[T ID]],Table5[#All],5,FALSE)="No","Not in scope",VLOOKUP(Table4[[#This Row],[T ID]],Table5[#All],2,FALSE))</f>
        <v>Not in scope</v>
      </c>
      <c r="D5" s="48" t="s">
        <v>44</v>
      </c>
      <c r="E5" s="76" t="str">
        <f>IF(VLOOKUP(Table4[[#This Row],[V ID]],Vulnerabilities[#All],3,FALSE)="No","Not in scope",VLOOKUP(Table4[[#This Row],[V ID]],Vulnerabilities[#All],2,FALSE))</f>
        <v xml:space="preserve">3rd Party Component Dependency &amp; Vulnerabilities in Application  </v>
      </c>
      <c r="F5" s="79" t="s">
        <v>15</v>
      </c>
      <c r="G5" s="76" t="str">
        <f>VLOOKUP(Table4[[#This Row],[A ID]],Assets[#All],3,FALSE)</f>
        <v>Knee balancer supporting software components (binaries, frameworks, 3rd party components, etc..)</v>
      </c>
      <c r="H5" s="178" t="s">
        <v>253</v>
      </c>
      <c r="I5" s="48"/>
      <c r="J5" s="77" t="s">
        <v>114</v>
      </c>
      <c r="K5" s="77" t="s">
        <v>114</v>
      </c>
      <c r="L5" s="77" t="s">
        <v>112</v>
      </c>
      <c r="M5" s="142" t="s">
        <v>117</v>
      </c>
      <c r="N5" s="142" t="s">
        <v>112</v>
      </c>
      <c r="O5" s="142" t="s">
        <v>112</v>
      </c>
      <c r="P5" s="142" t="s">
        <v>114</v>
      </c>
      <c r="Q5" s="142" t="s">
        <v>115</v>
      </c>
      <c r="R5"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6">
        <f>(1 - ((1 - VLOOKUP(Table4[[#This Row],[Confidentiality]],'Reference - CVSSv3.0'!$B$15:$C$17,2,FALSE)) * (1 - VLOOKUP(Table4[[#This Row],[Integrity]],'Reference - CVSSv3.0'!$B$15:$C$17,2,FALSE)) *  (1 - VLOOKUP(Table4[[#This Row],[Availability]],'Reference - CVSSv3.0'!$B$15:$C$17,2,FALSE))))</f>
        <v>0.21999999999999997</v>
      </c>
      <c r="T5" s="146">
        <f>IF(Table4[[#This Row],[Scope]]="Unchanged",6.42*Table4[[#This Row],[ISC Base]],IF(Table4[[#This Row],[Scope]]="Changed",7.52*(Table4[[#This Row],[ISC Base]] - 0.029) - 3.25 * POWER(Table4[[#This Row],[ISC Base]] - 0.02,15),NA()))</f>
        <v>1.4123999999999999</v>
      </c>
      <c r="U5"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4" t="s">
        <v>112</v>
      </c>
      <c r="W5" s="146">
        <f>VLOOKUP(Table4[[#This Row],[Threat Event Initiation]],NIST_Scale_LOAI[],2,FALSE)</f>
        <v>0.2</v>
      </c>
      <c r="X5"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8"/>
      <c r="AA5" s="178"/>
      <c r="AB5" s="78"/>
      <c r="AC5" s="48"/>
      <c r="AD5" s="48"/>
      <c r="AE5" s="48"/>
      <c r="AF5" s="142"/>
      <c r="AG5" s="142"/>
      <c r="AH5" s="142"/>
      <c r="AI5" s="142"/>
      <c r="AJ5" s="142"/>
      <c r="AK5"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6" t="e">
        <f>(1 - ((1 - VLOOKUP(Table4[[#This Row],[ConfidentialityP]],'Reference - CVSSv3.0'!$B$15:$C$17,2,FALSE)) * (1 - VLOOKUP(Table4[[#This Row],[IntegrityP]],'Reference - CVSSv3.0'!$B$15:$C$17,2,FALSE)) *  (1 - VLOOKUP(Table4[[#This Row],[AvailabilityP]],'Reference - CVSSv3.0'!$B$15:$C$17,2,FALSE))))</f>
        <v>#N/A</v>
      </c>
      <c r="AM5" s="146" t="e">
        <f>IF(Table4[[#This Row],[ScopeP]]="Unchanged",6.42*Table4[[#This Row],[ISC BaseP]],IF(Table4[[#This Row],[ScopeP]]="Changed",7.52*(Table4[[#This Row],[ISC BaseP]] - 0.029) - 3.25 * POWER(Table4[[#This Row],[ISC BaseP]] - 0.02,15),NA()))</f>
        <v>#N/A</v>
      </c>
      <c r="AN5"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111</v>
      </c>
      <c r="C6" s="76" t="str">
        <f>IF(VLOOKUP(Table4[[#This Row],[T ID]],Table5[#All],5,FALSE)="No","Not in scope",VLOOKUP(Table4[[#This Row],[T ID]],Table5[#All],2,FALSE))</f>
        <v>Not in scope</v>
      </c>
      <c r="D6" s="48" t="s">
        <v>53</v>
      </c>
      <c r="E6" s="76" t="str">
        <f>IF(VLOOKUP(Table4[[#This Row],[V ID]],Vulnerabilities[#All],3,FALSE)="No","Not in scope",VLOOKUP(Table4[[#This Row],[V ID]],Vulnerabilities[#All],2,FALSE))</f>
        <v>Not in scope</v>
      </c>
      <c r="F6" s="79" t="s">
        <v>10</v>
      </c>
      <c r="G6" s="76" t="str">
        <f>VLOOKUP(Table4[[#This Row],[A ID]],Assets[#All],3,FALSE)</f>
        <v>Mobile Device (iPad, iPhone V8-13)</v>
      </c>
      <c r="H6" s="178" t="s">
        <v>239</v>
      </c>
      <c r="I6" s="48"/>
      <c r="J6" s="77" t="s">
        <v>114</v>
      </c>
      <c r="K6" s="77" t="s">
        <v>114</v>
      </c>
      <c r="L6" s="77" t="s">
        <v>112</v>
      </c>
      <c r="M6" s="142" t="s">
        <v>117</v>
      </c>
      <c r="N6" s="142" t="s">
        <v>112</v>
      </c>
      <c r="O6" s="142" t="s">
        <v>112</v>
      </c>
      <c r="P6" s="142" t="s">
        <v>114</v>
      </c>
      <c r="Q6" s="142" t="s">
        <v>115</v>
      </c>
      <c r="R6"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6">
        <f>(1 - ((1 - VLOOKUP(Table4[[#This Row],[Confidentiality]],'Reference - CVSSv3.0'!$B$15:$C$17,2,FALSE)) * (1 - VLOOKUP(Table4[[#This Row],[Integrity]],'Reference - CVSSv3.0'!$B$15:$C$17,2,FALSE)) *  (1 - VLOOKUP(Table4[[#This Row],[Availability]],'Reference - CVSSv3.0'!$B$15:$C$17,2,FALSE))))</f>
        <v>0.21999999999999997</v>
      </c>
      <c r="T6" s="146">
        <f>IF(Table4[[#This Row],[Scope]]="Unchanged",6.42*Table4[[#This Row],[ISC Base]],IF(Table4[[#This Row],[Scope]]="Changed",7.52*(Table4[[#This Row],[ISC Base]] - 0.029) - 3.25 * POWER(Table4[[#This Row],[ISC Base]] - 0.02,15),NA()))</f>
        <v>1.4123999999999999</v>
      </c>
      <c r="U6"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4" t="s">
        <v>112</v>
      </c>
      <c r="W6" s="146">
        <f>VLOOKUP(Table4[[#This Row],[Threat Event Initiation]],NIST_Scale_LOAI[],2,FALSE)</f>
        <v>0.2</v>
      </c>
      <c r="X6"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8"/>
      <c r="AA6" s="178"/>
      <c r="AB6" s="78"/>
      <c r="AC6" s="48"/>
      <c r="AD6" s="48"/>
      <c r="AE6" s="48"/>
      <c r="AF6" s="142"/>
      <c r="AG6" s="142"/>
      <c r="AH6" s="142"/>
      <c r="AI6" s="142"/>
      <c r="AJ6" s="142"/>
      <c r="AK6"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6" t="e">
        <f>(1 - ((1 - VLOOKUP(Table4[[#This Row],[ConfidentialityP]],'Reference - CVSSv3.0'!$B$15:$C$17,2,FALSE)) * (1 - VLOOKUP(Table4[[#This Row],[IntegrityP]],'Reference - CVSSv3.0'!$B$15:$C$17,2,FALSE)) *  (1 - VLOOKUP(Table4[[#This Row],[AvailabilityP]],'Reference - CVSSv3.0'!$B$15:$C$17,2,FALSE))))</f>
        <v>#N/A</v>
      </c>
      <c r="AM6" s="146" t="e">
        <f>IF(Table4[[#This Row],[ScopeP]]="Unchanged",6.42*Table4[[#This Row],[ISC BaseP]],IF(Table4[[#This Row],[ScopeP]]="Changed",7.52*(Table4[[#This Row],[ISC BaseP]] - 0.029) - 3.25 * POWER(Table4[[#This Row],[ISC BaseP]] - 0.02,15),NA()))</f>
        <v>#N/A</v>
      </c>
      <c r="AN6"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122</v>
      </c>
      <c r="C7" s="76" t="str">
        <f>IF(VLOOKUP(Table4[[#This Row],[T ID]],Table5[#All],5,FALSE)="No","Not in scope",VLOOKUP(Table4[[#This Row],[T ID]],Table5[#All],2,FALSE))</f>
        <v>Not in scope</v>
      </c>
      <c r="D7" s="48" t="s">
        <v>46</v>
      </c>
      <c r="E7" s="76" t="str">
        <f>IF(VLOOKUP(Table4[[#This Row],[V ID]],Vulnerabilities[#All],3,FALSE)="No","Not in scope",VLOOKUP(Table4[[#This Row],[V ID]],Vulnerabilities[#All],2,FALSE))</f>
        <v>No Static Analysis for developed code &amp; SCA for SOUP in Application</v>
      </c>
      <c r="F7" s="79" t="s">
        <v>12</v>
      </c>
      <c r="G7" s="76" t="str">
        <f>VLOOKUP(Table4[[#This Row],[A ID]],Assets[#All],3,FALSE)</f>
        <v>Knee balancer application</v>
      </c>
      <c r="H7" s="178" t="s">
        <v>254</v>
      </c>
      <c r="I7" s="48"/>
      <c r="J7" s="176" t="s">
        <v>112</v>
      </c>
      <c r="K7" s="176" t="s">
        <v>114</v>
      </c>
      <c r="L7" s="176" t="s">
        <v>112</v>
      </c>
      <c r="M7" s="142" t="s">
        <v>113</v>
      </c>
      <c r="N7" s="142" t="s">
        <v>119</v>
      </c>
      <c r="O7" s="142" t="s">
        <v>114</v>
      </c>
      <c r="P7" s="142" t="s">
        <v>114</v>
      </c>
      <c r="Q7" s="142" t="s">
        <v>115</v>
      </c>
      <c r="R7"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6">
        <f>(1 - ((1 - VLOOKUP(Table4[[#This Row],[Confidentiality]],'Reference - CVSSv3.0'!$B$15:$C$17,2,FALSE)) * (1 - VLOOKUP(Table4[[#This Row],[Integrity]],'Reference - CVSSv3.0'!$B$15:$C$17,2,FALSE)) *  (1 - VLOOKUP(Table4[[#This Row],[Availability]],'Reference - CVSSv3.0'!$B$15:$C$17,2,FALSE))))</f>
        <v>0.39159999999999995</v>
      </c>
      <c r="T7" s="146">
        <f>IF(Table4[[#This Row],[Scope]]="Unchanged",6.42*Table4[[#This Row],[ISC Base]],IF(Table4[[#This Row],[Scope]]="Changed",7.52*(Table4[[#This Row],[ISC Base]] - 0.029) - 3.25 * POWER(Table4[[#This Row],[ISC Base]] - 0.02,15),NA()))</f>
        <v>2.5140719999999996</v>
      </c>
      <c r="U7" s="146">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4" t="s">
        <v>125</v>
      </c>
      <c r="W7" s="146">
        <f>VLOOKUP(Table4[[#This Row],[Threat Event Initiation]],NIST_Scale_LOAI[],2,FALSE)</f>
        <v>0.5</v>
      </c>
      <c r="X7"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8"/>
      <c r="AA7" s="178"/>
      <c r="AB7" s="78"/>
      <c r="AC7" s="48"/>
      <c r="AD7" s="48"/>
      <c r="AE7" s="48"/>
      <c r="AF7" s="142"/>
      <c r="AG7" s="142"/>
      <c r="AH7" s="142"/>
      <c r="AI7" s="142"/>
      <c r="AJ7" s="142"/>
      <c r="AK7"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6" t="e">
        <f>(1 - ((1 - VLOOKUP(Table4[[#This Row],[ConfidentialityP]],'Reference - CVSSv3.0'!$B$15:$C$17,2,FALSE)) * (1 - VLOOKUP(Table4[[#This Row],[IntegrityP]],'Reference - CVSSv3.0'!$B$15:$C$17,2,FALSE)) *  (1 - VLOOKUP(Table4[[#This Row],[AvailabilityP]],'Reference - CVSSv3.0'!$B$15:$C$17,2,FALSE))))</f>
        <v>#N/A</v>
      </c>
      <c r="AM7" s="146" t="e">
        <f>IF(Table4[[#This Row],[ScopeP]]="Unchanged",6.42*Table4[[#This Row],[ISC BaseP]],IF(Table4[[#This Row],[ScopeP]]="Changed",7.52*(Table4[[#This Row],[ISC BaseP]] - 0.029) - 3.25 * POWER(Table4[[#This Row],[ISC BaseP]] - 0.02,15),NA()))</f>
        <v>#N/A</v>
      </c>
      <c r="AN7"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99.75">
      <c r="A8" s="57">
        <v>4</v>
      </c>
      <c r="B8" s="48" t="s">
        <v>141</v>
      </c>
      <c r="C8" s="76" t="str">
        <f>IF(VLOOKUP(Table4[[#This Row],[T ID]],Table5[#All],5,FALSE)="No","Not in scope",VLOOKUP(Table4[[#This Row],[T ID]],Table5[#All],2,FALSE))</f>
        <v>Unauthorized modifications  to Knee Balancer Software</v>
      </c>
      <c r="D8" s="48" t="s">
        <v>39</v>
      </c>
      <c r="E8" s="76" t="str">
        <f>IF(VLOOKUP(Table4[[#This Row],[V ID]],Vulnerabilities[#All],3,FALSE)="No","Not in scope",VLOOKUP(Table4[[#This Row],[V ID]],Vulnerabilities[#All],2,FALSE))</f>
        <v>Unsafely compiled Application Binaries in Application</v>
      </c>
      <c r="F8" s="79" t="s">
        <v>15</v>
      </c>
      <c r="G8" s="76" t="str">
        <f>VLOOKUP(Table4[[#This Row],[A ID]],Assets[#All],3,FALSE)</f>
        <v>Knee balancer supporting software components (binaries, frameworks, 3rd party components, etc..)</v>
      </c>
      <c r="H8" s="178" t="s">
        <v>241</v>
      </c>
      <c r="I8" s="48"/>
      <c r="J8" s="176" t="s">
        <v>114</v>
      </c>
      <c r="K8" s="176" t="s">
        <v>119</v>
      </c>
      <c r="L8" s="176" t="s">
        <v>112</v>
      </c>
      <c r="M8" s="142" t="s">
        <v>117</v>
      </c>
      <c r="N8" s="142" t="s">
        <v>112</v>
      </c>
      <c r="O8" s="142" t="s">
        <v>112</v>
      </c>
      <c r="P8" s="142" t="s">
        <v>114</v>
      </c>
      <c r="Q8" s="142" t="s">
        <v>115</v>
      </c>
      <c r="R8"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6">
        <f>(1 - ((1 - VLOOKUP(Table4[[#This Row],[Confidentiality]],'Reference - CVSSv3.0'!$B$15:$C$17,2,FALSE)) * (1 - VLOOKUP(Table4[[#This Row],[Integrity]],'Reference - CVSSv3.0'!$B$15:$C$17,2,FALSE)) *  (1 - VLOOKUP(Table4[[#This Row],[Availability]],'Reference - CVSSv3.0'!$B$15:$C$17,2,FALSE))))</f>
        <v>0.65680000000000005</v>
      </c>
      <c r="T8" s="146">
        <f>IF(Table4[[#This Row],[Scope]]="Unchanged",6.42*Table4[[#This Row],[ISC Base]],IF(Table4[[#This Row],[Scope]]="Changed",7.52*(Table4[[#This Row],[ISC Base]] - 0.029) - 3.25 * POWER(Table4[[#This Row],[ISC Base]] - 0.02,15),NA()))</f>
        <v>4.2166560000000004</v>
      </c>
      <c r="U8"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4" t="s">
        <v>125</v>
      </c>
      <c r="W8" s="146">
        <f>VLOOKUP(Table4[[#This Row],[Threat Event Initiation]],NIST_Scale_LOAI[],2,FALSE)</f>
        <v>0.5</v>
      </c>
      <c r="X8"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8"/>
      <c r="AA8" s="178"/>
      <c r="AB8" s="78"/>
      <c r="AC8" s="48"/>
      <c r="AD8" s="48"/>
      <c r="AE8" s="48"/>
      <c r="AF8" s="142"/>
      <c r="AG8" s="142"/>
      <c r="AH8" s="142"/>
      <c r="AI8" s="142"/>
      <c r="AJ8" s="142"/>
      <c r="AK8"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6" t="e">
        <f>(1 - ((1 - VLOOKUP(Table4[[#This Row],[ConfidentialityP]],'Reference - CVSSv3.0'!$B$15:$C$17,2,FALSE)) * (1 - VLOOKUP(Table4[[#This Row],[IntegrityP]],'Reference - CVSSv3.0'!$B$15:$C$17,2,FALSE)) *  (1 - VLOOKUP(Table4[[#This Row],[AvailabilityP]],'Reference - CVSSv3.0'!$B$15:$C$17,2,FALSE))))</f>
        <v>#N/A</v>
      </c>
      <c r="AM8" s="146" t="e">
        <f>IF(Table4[[#This Row],[ScopeP]]="Unchanged",6.42*Table4[[#This Row],[ISC BaseP]],IF(Table4[[#This Row],[ScopeP]]="Changed",7.52*(Table4[[#This Row],[ISC BaseP]] - 0.029) - 3.25 * POWER(Table4[[#This Row],[ISC BaseP]] - 0.02,15),NA()))</f>
        <v>#N/A</v>
      </c>
      <c r="AN8"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99.75">
      <c r="A9" s="57">
        <v>5</v>
      </c>
      <c r="B9" s="48" t="s">
        <v>141</v>
      </c>
      <c r="C9" s="76" t="str">
        <f>IF(VLOOKUP(Table4[[#This Row],[T ID]],Table5[#All],5,FALSE)="No","Not in scope",VLOOKUP(Table4[[#This Row],[T ID]],Table5[#All],2,FALSE))</f>
        <v>Unauthorized modifications  to Knee Balancer Software</v>
      </c>
      <c r="D9" s="48" t="s">
        <v>44</v>
      </c>
      <c r="E9" s="76" t="str">
        <f>IF(VLOOKUP(Table4[[#This Row],[V ID]],Vulnerabilities[#All],3,FALSE)="No","Not in scope",VLOOKUP(Table4[[#This Row],[V ID]],Vulnerabilities[#All],2,FALSE))</f>
        <v xml:space="preserve">3rd Party Component Dependency &amp; Vulnerabilities in Application  </v>
      </c>
      <c r="F9" s="79" t="s">
        <v>15</v>
      </c>
      <c r="G9" s="76" t="str">
        <f>VLOOKUP(Table4[[#This Row],[A ID]],Assets[#All],3,FALSE)</f>
        <v>Knee balancer supporting software components (binaries, frameworks, 3rd party components, etc..)</v>
      </c>
      <c r="H9" s="178" t="s">
        <v>241</v>
      </c>
      <c r="I9" s="48"/>
      <c r="J9" s="176" t="s">
        <v>114</v>
      </c>
      <c r="K9" s="176" t="s">
        <v>119</v>
      </c>
      <c r="L9" s="176" t="s">
        <v>112</v>
      </c>
      <c r="M9" s="142" t="s">
        <v>117</v>
      </c>
      <c r="N9" s="142" t="s">
        <v>112</v>
      </c>
      <c r="O9" s="142" t="s">
        <v>112</v>
      </c>
      <c r="P9" s="142" t="s">
        <v>114</v>
      </c>
      <c r="Q9" s="142" t="s">
        <v>115</v>
      </c>
      <c r="R9"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6">
        <f>(1 - ((1 - VLOOKUP(Table4[[#This Row],[Confidentiality]],'Reference - CVSSv3.0'!$B$15:$C$17,2,FALSE)) * (1 - VLOOKUP(Table4[[#This Row],[Integrity]],'Reference - CVSSv3.0'!$B$15:$C$17,2,FALSE)) *  (1 - VLOOKUP(Table4[[#This Row],[Availability]],'Reference - CVSSv3.0'!$B$15:$C$17,2,FALSE))))</f>
        <v>0.65680000000000005</v>
      </c>
      <c r="T9" s="146">
        <f>IF(Table4[[#This Row],[Scope]]="Unchanged",6.42*Table4[[#This Row],[ISC Base]],IF(Table4[[#This Row],[Scope]]="Changed",7.52*(Table4[[#This Row],[ISC Base]] - 0.029) - 3.25 * POWER(Table4[[#This Row],[ISC Base]] - 0.02,15),NA()))</f>
        <v>4.2166560000000004</v>
      </c>
      <c r="U9"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4" t="s">
        <v>125</v>
      </c>
      <c r="W9" s="146">
        <f>VLOOKUP(Table4[[#This Row],[Threat Event Initiation]],NIST_Scale_LOAI[],2,FALSE)</f>
        <v>0.5</v>
      </c>
      <c r="X9"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8"/>
      <c r="AA9" s="178"/>
      <c r="AB9" s="78"/>
      <c r="AC9" s="48"/>
      <c r="AD9" s="48"/>
      <c r="AE9" s="48"/>
      <c r="AF9" s="142"/>
      <c r="AG9" s="142"/>
      <c r="AH9" s="142"/>
      <c r="AI9" s="142"/>
      <c r="AJ9" s="142"/>
      <c r="AK9"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6" t="e">
        <f>(1 - ((1 - VLOOKUP(Table4[[#This Row],[ConfidentialityP]],'Reference - CVSSv3.0'!$B$15:$C$17,2,FALSE)) * (1 - VLOOKUP(Table4[[#This Row],[IntegrityP]],'Reference - CVSSv3.0'!$B$15:$C$17,2,FALSE)) *  (1 - VLOOKUP(Table4[[#This Row],[AvailabilityP]],'Reference - CVSSv3.0'!$B$15:$C$17,2,FALSE))))</f>
        <v>#N/A</v>
      </c>
      <c r="AM9" s="146" t="e">
        <f>IF(Table4[[#This Row],[ScopeP]]="Unchanged",6.42*Table4[[#This Row],[ISC BaseP]],IF(Table4[[#This Row],[ScopeP]]="Changed",7.52*(Table4[[#This Row],[ISC BaseP]] - 0.029) - 3.25 * POWER(Table4[[#This Row],[ISC BaseP]] - 0.02,15),NA()))</f>
        <v>#N/A</v>
      </c>
      <c r="AN9"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99.75">
      <c r="A10" s="57">
        <v>6</v>
      </c>
      <c r="B10" s="48" t="s">
        <v>141</v>
      </c>
      <c r="C10" s="76" t="str">
        <f>IF(VLOOKUP(Table4[[#This Row],[T ID]],Table5[#All],5,FALSE)="No","Not in scope",VLOOKUP(Table4[[#This Row],[T ID]],Table5[#All],2,FALSE))</f>
        <v>Unauthorized modifications  to Knee Balancer Software</v>
      </c>
      <c r="D10" s="48" t="s">
        <v>45</v>
      </c>
      <c r="E10" s="76" t="str">
        <f>IF(VLOOKUP(Table4[[#This Row],[V ID]],Vulnerabilities[#All],3,FALSE)="No","Not in scope",VLOOKUP(Table4[[#This Row],[V ID]],Vulnerabilities[#All],2,FALSE))</f>
        <v>Unrestricted access to the stored application resources</v>
      </c>
      <c r="F10" s="79" t="s">
        <v>15</v>
      </c>
      <c r="G10" s="76" t="str">
        <f>VLOOKUP(Table4[[#This Row],[A ID]],Assets[#All],3,FALSE)</f>
        <v>Knee balancer supporting software components (binaries, frameworks, 3rd party components, etc..)</v>
      </c>
      <c r="H10" s="178" t="s">
        <v>241</v>
      </c>
      <c r="I10" s="48"/>
      <c r="J10" s="176" t="s">
        <v>114</v>
      </c>
      <c r="K10" s="176" t="s">
        <v>119</v>
      </c>
      <c r="L10" s="176" t="s">
        <v>112</v>
      </c>
      <c r="M10" s="142" t="s">
        <v>117</v>
      </c>
      <c r="N10" s="142" t="s">
        <v>112</v>
      </c>
      <c r="O10" s="142" t="s">
        <v>112</v>
      </c>
      <c r="P10" s="142" t="s">
        <v>114</v>
      </c>
      <c r="Q10" s="142" t="s">
        <v>115</v>
      </c>
      <c r="R10"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6">
        <f>(1 - ((1 - VLOOKUP(Table4[[#This Row],[Confidentiality]],'Reference - CVSSv3.0'!$B$15:$C$17,2,FALSE)) * (1 - VLOOKUP(Table4[[#This Row],[Integrity]],'Reference - CVSSv3.0'!$B$15:$C$17,2,FALSE)) *  (1 - VLOOKUP(Table4[[#This Row],[Availability]],'Reference - CVSSv3.0'!$B$15:$C$17,2,FALSE))))</f>
        <v>0.65680000000000005</v>
      </c>
      <c r="T10" s="146">
        <f>IF(Table4[[#This Row],[Scope]]="Unchanged",6.42*Table4[[#This Row],[ISC Base]],IF(Table4[[#This Row],[Scope]]="Changed",7.52*(Table4[[#This Row],[ISC Base]] - 0.029) - 3.25 * POWER(Table4[[#This Row],[ISC Base]] - 0.02,15),NA()))</f>
        <v>4.2166560000000004</v>
      </c>
      <c r="U10"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4" t="s">
        <v>125</v>
      </c>
      <c r="W10" s="146">
        <f>VLOOKUP(Table4[[#This Row],[Threat Event Initiation]],NIST_Scale_LOAI[],2,FALSE)</f>
        <v>0.5</v>
      </c>
      <c r="X10"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8"/>
      <c r="AA10" s="178"/>
      <c r="AB10" s="78"/>
      <c r="AC10" s="48"/>
      <c r="AD10" s="48"/>
      <c r="AE10" s="48"/>
      <c r="AF10" s="142"/>
      <c r="AG10" s="142"/>
      <c r="AH10" s="142"/>
      <c r="AI10" s="142"/>
      <c r="AJ10" s="142"/>
      <c r="AK10"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6" t="e">
        <f>(1 - ((1 - VLOOKUP(Table4[[#This Row],[ConfidentialityP]],'Reference - CVSSv3.0'!$B$15:$C$17,2,FALSE)) * (1 - VLOOKUP(Table4[[#This Row],[IntegrityP]],'Reference - CVSSv3.0'!$B$15:$C$17,2,FALSE)) *  (1 - VLOOKUP(Table4[[#This Row],[AvailabilityP]],'Reference - CVSSv3.0'!$B$15:$C$17,2,FALSE))))</f>
        <v>#N/A</v>
      </c>
      <c r="AM10" s="146" t="e">
        <f>IF(Table4[[#This Row],[ScopeP]]="Unchanged",6.42*Table4[[#This Row],[ISC BaseP]],IF(Table4[[#This Row],[ScopeP]]="Changed",7.52*(Table4[[#This Row],[ISC BaseP]] - 0.029) - 3.25 * POWER(Table4[[#This Row],[ISC BaseP]] - 0.02,15),NA()))</f>
        <v>#N/A</v>
      </c>
      <c r="AN10"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141</v>
      </c>
      <c r="C11" s="76" t="str">
        <f>IF(VLOOKUP(Table4[[#This Row],[T ID]],Table5[#All],5,FALSE)="No","Not in scope",VLOOKUP(Table4[[#This Row],[T ID]],Table5[#All],2,FALSE))</f>
        <v>Unauthorized modifications  to Knee Balancer Software</v>
      </c>
      <c r="D11" s="48" t="s">
        <v>46</v>
      </c>
      <c r="E11" s="76" t="str">
        <f>IF(VLOOKUP(Table4[[#This Row],[V ID]],Vulnerabilities[#All],3,FALSE)="No","Not in scope",VLOOKUP(Table4[[#This Row],[V ID]],Vulnerabilities[#All],2,FALSE))</f>
        <v>No Static Analysis for developed code &amp; SCA for SOUP in Application</v>
      </c>
      <c r="F11" s="79" t="s">
        <v>15</v>
      </c>
      <c r="G11" s="76" t="str">
        <f>VLOOKUP(Table4[[#This Row],[A ID]],Assets[#All],3,FALSE)</f>
        <v>Knee balancer supporting software components (binaries, frameworks, 3rd party components, etc..)</v>
      </c>
      <c r="H11" s="178" t="s">
        <v>241</v>
      </c>
      <c r="I11" s="48"/>
      <c r="J11" s="176" t="s">
        <v>114</v>
      </c>
      <c r="K11" s="176" t="s">
        <v>119</v>
      </c>
      <c r="L11" s="176" t="s">
        <v>112</v>
      </c>
      <c r="M11" s="142" t="s">
        <v>117</v>
      </c>
      <c r="N11" s="142" t="s">
        <v>112</v>
      </c>
      <c r="O11" s="142" t="s">
        <v>112</v>
      </c>
      <c r="P11" s="142" t="s">
        <v>114</v>
      </c>
      <c r="Q11" s="142" t="s">
        <v>115</v>
      </c>
      <c r="R11"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6">
        <f>(1 - ((1 - VLOOKUP(Table4[[#This Row],[Confidentiality]],'Reference - CVSSv3.0'!$B$15:$C$17,2,FALSE)) * (1 - VLOOKUP(Table4[[#This Row],[Integrity]],'Reference - CVSSv3.0'!$B$15:$C$17,2,FALSE)) *  (1 - VLOOKUP(Table4[[#This Row],[Availability]],'Reference - CVSSv3.0'!$B$15:$C$17,2,FALSE))))</f>
        <v>0.65680000000000005</v>
      </c>
      <c r="T11" s="146">
        <f>IF(Table4[[#This Row],[Scope]]="Unchanged",6.42*Table4[[#This Row],[ISC Base]],IF(Table4[[#This Row],[Scope]]="Changed",7.52*(Table4[[#This Row],[ISC Base]] - 0.029) - 3.25 * POWER(Table4[[#This Row],[ISC Base]] - 0.02,15),NA()))</f>
        <v>4.2166560000000004</v>
      </c>
      <c r="U11"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4" t="s">
        <v>125</v>
      </c>
      <c r="W11" s="146">
        <f>VLOOKUP(Table4[[#This Row],[Threat Event Initiation]],NIST_Scale_LOAI[],2,FALSE)</f>
        <v>0.5</v>
      </c>
      <c r="X11"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8"/>
      <c r="AA11" s="178"/>
      <c r="AB11" s="78"/>
      <c r="AC11" s="48"/>
      <c r="AD11" s="48"/>
      <c r="AE11" s="48"/>
      <c r="AF11" s="142"/>
      <c r="AG11" s="142"/>
      <c r="AH11" s="142"/>
      <c r="AI11" s="142"/>
      <c r="AJ11" s="142"/>
      <c r="AK11"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6" t="e">
        <f>(1 - ((1 - VLOOKUP(Table4[[#This Row],[ConfidentialityP]],'Reference - CVSSv3.0'!$B$15:$C$17,2,FALSE)) * (1 - VLOOKUP(Table4[[#This Row],[IntegrityP]],'Reference - CVSSv3.0'!$B$15:$C$17,2,FALSE)) *  (1 - VLOOKUP(Table4[[#This Row],[AvailabilityP]],'Reference - CVSSv3.0'!$B$15:$C$17,2,FALSE))))</f>
        <v>#N/A</v>
      </c>
      <c r="AM11" s="146" t="e">
        <f>IF(Table4[[#This Row],[ScopeP]]="Unchanged",6.42*Table4[[#This Row],[ISC BaseP]],IF(Table4[[#This Row],[ScopeP]]="Changed",7.52*(Table4[[#This Row],[ISC BaseP]] - 0.029) - 3.25 * POWER(Table4[[#This Row],[ISC BaseP]] - 0.02,15),NA()))</f>
        <v>#N/A</v>
      </c>
      <c r="AN11"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123</v>
      </c>
      <c r="C12" s="76" t="str">
        <f>IF(VLOOKUP(Table4[[#This Row],[T ID]],Table5[#All],5,FALSE)="No","Not in scope",VLOOKUP(Table4[[#This Row],[T ID]],Table5[#All],2,FALSE))</f>
        <v>Unauthorized access to Knee Balancer App</v>
      </c>
      <c r="D12" s="48" t="s">
        <v>35</v>
      </c>
      <c r="E12" s="76" t="str">
        <f>IF(VLOOKUP(Table4[[#This Row],[V ID]],Vulnerabilities[#All],3,FALSE)="No","Not in scope",VLOOKUP(Table4[[#This Row],[V ID]],Vulnerabilities[#All],2,FALSE))</f>
        <v>Not in scope</v>
      </c>
      <c r="F12" s="79" t="s">
        <v>11</v>
      </c>
      <c r="G12" s="76" t="str">
        <f>VLOOKUP(Table4[[#This Row],[A ID]],Assets[#All],3,FALSE)</f>
        <v>User identity</v>
      </c>
      <c r="H12" s="178" t="s">
        <v>242</v>
      </c>
      <c r="I12" s="48"/>
      <c r="J12" s="176" t="s">
        <v>112</v>
      </c>
      <c r="K12" s="176" t="s">
        <v>114</v>
      </c>
      <c r="L12" s="176" t="s">
        <v>112</v>
      </c>
      <c r="M12" s="142" t="s">
        <v>117</v>
      </c>
      <c r="N12" s="142" t="s">
        <v>112</v>
      </c>
      <c r="O12" s="142" t="s">
        <v>112</v>
      </c>
      <c r="P12" s="142" t="s">
        <v>114</v>
      </c>
      <c r="Q12" s="142" t="s">
        <v>115</v>
      </c>
      <c r="R12"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6">
        <f>(1 - ((1 - VLOOKUP(Table4[[#This Row],[Confidentiality]],'Reference - CVSSv3.0'!$B$15:$C$17,2,FALSE)) * (1 - VLOOKUP(Table4[[#This Row],[Integrity]],'Reference - CVSSv3.0'!$B$15:$C$17,2,FALSE)) *  (1 - VLOOKUP(Table4[[#This Row],[Availability]],'Reference - CVSSv3.0'!$B$15:$C$17,2,FALSE))))</f>
        <v>0.39159999999999995</v>
      </c>
      <c r="T12" s="146">
        <f>IF(Table4[[#This Row],[Scope]]="Unchanged",6.42*Table4[[#This Row],[ISC Base]],IF(Table4[[#This Row],[Scope]]="Changed",7.52*(Table4[[#This Row],[ISC Base]] - 0.029) - 3.25 * POWER(Table4[[#This Row],[ISC Base]] - 0.02,15),NA()))</f>
        <v>2.5140719999999996</v>
      </c>
      <c r="U12"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4" t="s">
        <v>125</v>
      </c>
      <c r="W12" s="146">
        <f>VLOOKUP(Table4[[#This Row],[Threat Event Initiation]],NIST_Scale_LOAI[],2,FALSE)</f>
        <v>0.5</v>
      </c>
      <c r="X12"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8"/>
      <c r="AA12" s="178"/>
      <c r="AB12" s="78"/>
      <c r="AC12" s="48"/>
      <c r="AD12" s="48"/>
      <c r="AE12" s="48"/>
      <c r="AF12" s="142"/>
      <c r="AG12" s="142"/>
      <c r="AH12" s="142"/>
      <c r="AI12" s="142"/>
      <c r="AJ12" s="142"/>
      <c r="AK12"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6" t="e">
        <f>(1 - ((1 - VLOOKUP(Table4[[#This Row],[ConfidentialityP]],'Reference - CVSSv3.0'!$B$15:$C$17,2,FALSE)) * (1 - VLOOKUP(Table4[[#This Row],[IntegrityP]],'Reference - CVSSv3.0'!$B$15:$C$17,2,FALSE)) *  (1 - VLOOKUP(Table4[[#This Row],[AvailabilityP]],'Reference - CVSSv3.0'!$B$15:$C$17,2,FALSE))))</f>
        <v>#N/A</v>
      </c>
      <c r="AM12" s="146" t="e">
        <f>IF(Table4[[#This Row],[ScopeP]]="Unchanged",6.42*Table4[[#This Row],[ISC BaseP]],IF(Table4[[#This Row],[ScopeP]]="Changed",7.52*(Table4[[#This Row],[ISC BaseP]] - 0.029) - 3.25 * POWER(Table4[[#This Row],[ISC BaseP]] - 0.02,15),NA()))</f>
        <v>#N/A</v>
      </c>
      <c r="AN12"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123</v>
      </c>
      <c r="C13" s="76" t="str">
        <f>IF(VLOOKUP(Table4[[#This Row],[T ID]],Table5[#All],5,FALSE)="No","Not in scope",VLOOKUP(Table4[[#This Row],[T ID]],Table5[#All],2,FALSE))</f>
        <v>Unauthorized access to Knee Balancer App</v>
      </c>
      <c r="D13" s="48" t="s">
        <v>32</v>
      </c>
      <c r="E13" s="76" t="str">
        <f>IF(VLOOKUP(Table4[[#This Row],[V ID]],Vulnerabilities[#All],3,FALSE)="No","Not in scope",VLOOKUP(Table4[[#This Row],[V ID]],Vulnerabilities[#All],2,FALSE))</f>
        <v>Not in scope</v>
      </c>
      <c r="F13" s="79" t="s">
        <v>12</v>
      </c>
      <c r="G13" s="76" t="str">
        <f>VLOOKUP(Table4[[#This Row],[A ID]],Assets[#All],3,FALSE)</f>
        <v>Knee balancer application</v>
      </c>
      <c r="H13" s="178" t="s">
        <v>242</v>
      </c>
      <c r="I13" s="48"/>
      <c r="J13" s="176" t="s">
        <v>112</v>
      </c>
      <c r="K13" s="176" t="s">
        <v>114</v>
      </c>
      <c r="L13" s="176" t="s">
        <v>112</v>
      </c>
      <c r="M13" s="142" t="s">
        <v>117</v>
      </c>
      <c r="N13" s="142" t="s">
        <v>112</v>
      </c>
      <c r="O13" s="142" t="s">
        <v>112</v>
      </c>
      <c r="P13" s="142" t="s">
        <v>114</v>
      </c>
      <c r="Q13" s="142" t="s">
        <v>115</v>
      </c>
      <c r="R13"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6">
        <f>(1 - ((1 - VLOOKUP(Table4[[#This Row],[Confidentiality]],'Reference - CVSSv3.0'!$B$15:$C$17,2,FALSE)) * (1 - VLOOKUP(Table4[[#This Row],[Integrity]],'Reference - CVSSv3.0'!$B$15:$C$17,2,FALSE)) *  (1 - VLOOKUP(Table4[[#This Row],[Availability]],'Reference - CVSSv3.0'!$B$15:$C$17,2,FALSE))))</f>
        <v>0.39159999999999995</v>
      </c>
      <c r="T13" s="146">
        <f>IF(Table4[[#This Row],[Scope]]="Unchanged",6.42*Table4[[#This Row],[ISC Base]],IF(Table4[[#This Row],[Scope]]="Changed",7.52*(Table4[[#This Row],[ISC Base]] - 0.029) - 3.25 * POWER(Table4[[#This Row],[ISC Base]] - 0.02,15),NA()))</f>
        <v>2.5140719999999996</v>
      </c>
      <c r="U13"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4" t="s">
        <v>125</v>
      </c>
      <c r="W13" s="146">
        <f>VLOOKUP(Table4[[#This Row],[Threat Event Initiation]],NIST_Scale_LOAI[],2,FALSE)</f>
        <v>0.5</v>
      </c>
      <c r="X13"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8"/>
      <c r="AA13" s="179"/>
      <c r="AB13" s="78"/>
      <c r="AC13" s="48"/>
      <c r="AD13" s="48"/>
      <c r="AE13" s="48"/>
      <c r="AF13" s="142"/>
      <c r="AG13" s="142"/>
      <c r="AH13" s="142"/>
      <c r="AI13" s="142"/>
      <c r="AJ13" s="142"/>
      <c r="AK13"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6" t="e">
        <f>(1 - ((1 - VLOOKUP(Table4[[#This Row],[ConfidentialityP]],'Reference - CVSSv3.0'!$B$15:$C$17,2,FALSE)) * (1 - VLOOKUP(Table4[[#This Row],[IntegrityP]],'Reference - CVSSv3.0'!$B$15:$C$17,2,FALSE)) *  (1 - VLOOKUP(Table4[[#This Row],[AvailabilityP]],'Reference - CVSSv3.0'!$B$15:$C$17,2,FALSE))))</f>
        <v>#N/A</v>
      </c>
      <c r="AM13" s="146" t="e">
        <f>IF(Table4[[#This Row],[ScopeP]]="Unchanged",6.42*Table4[[#This Row],[ISC BaseP]],IF(Table4[[#This Row],[ScopeP]]="Changed",7.52*(Table4[[#This Row],[ISC BaseP]] - 0.029) - 3.25 * POWER(Table4[[#This Row],[ISC BaseP]] - 0.02,15),NA()))</f>
        <v>#N/A</v>
      </c>
      <c r="AN13"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85.5">
      <c r="A14" s="192">
        <v>10</v>
      </c>
      <c r="B14" s="51" t="s">
        <v>126</v>
      </c>
      <c r="C14" s="194" t="str">
        <f>IF(VLOOKUP(Table4[[#This Row],[T ID]],Table5[#All],5,FALSE)="No","Not in scope",VLOOKUP(Table4[[#This Row],[T ID]],Table5[#All],2,FALSE))</f>
        <v>Sensitive information exposure through audit log</v>
      </c>
      <c r="D14" s="193" t="s">
        <v>52</v>
      </c>
      <c r="E14" s="194" t="str">
        <f>IF(VLOOKUP(Table4[[#This Row],[V ID]],Vulnerabilities[#All],3,FALSE)="No","Not in scope",VLOOKUP(Table4[[#This Row],[V ID]],Vulnerabilities[#All],2,FALSE))</f>
        <v>Absence of application (status/behavior) logs and audit logs</v>
      </c>
      <c r="F14" s="195" t="s">
        <v>12</v>
      </c>
      <c r="G14" s="194" t="str">
        <f>VLOOKUP(Table4[[#This Row],[A ID]],Assets[#All],3,FALSE)</f>
        <v>Knee balancer application</v>
      </c>
      <c r="H14" s="206" t="s">
        <v>258</v>
      </c>
      <c r="I14" s="193"/>
      <c r="J14" s="196" t="s">
        <v>119</v>
      </c>
      <c r="K14" s="196" t="s">
        <v>114</v>
      </c>
      <c r="L14" s="196" t="s">
        <v>114</v>
      </c>
      <c r="M14" s="197" t="s">
        <v>117</v>
      </c>
      <c r="N14" s="197" t="s">
        <v>112</v>
      </c>
      <c r="O14" s="197" t="s">
        <v>112</v>
      </c>
      <c r="P14" s="197" t="s">
        <v>114</v>
      </c>
      <c r="Q14" s="197" t="s">
        <v>115</v>
      </c>
      <c r="R14"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9">
        <f>(1 - ((1 - VLOOKUP(Table4[[#This Row],[Confidentiality]],'Reference - CVSSv3.0'!$B$15:$C$17,2,FALSE)) * (1 - VLOOKUP(Table4[[#This Row],[Integrity]],'Reference - CVSSv3.0'!$B$15:$C$17,2,FALSE)) *  (1 - VLOOKUP(Table4[[#This Row],[Availability]],'Reference - CVSSv3.0'!$B$15:$C$17,2,FALSE))))</f>
        <v>0.56000000000000005</v>
      </c>
      <c r="T14" s="199">
        <f>IF(Table4[[#This Row],[Scope]]="Unchanged",6.42*Table4[[#This Row],[ISC Base]],IF(Table4[[#This Row],[Scope]]="Changed",7.52*(Table4[[#This Row],[ISC Base]] - 0.029) - 3.25 * POWER(Table4[[#This Row],[ISC Base]] - 0.02,15),NA()))</f>
        <v>3.5952000000000002</v>
      </c>
      <c r="U14"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200" t="s">
        <v>112</v>
      </c>
      <c r="W14" s="199">
        <f>VLOOKUP(Table4[[#This Row],[Threat Event Initiation]],NIST_Scale_LOAI[],2,FALSE)</f>
        <v>0.2</v>
      </c>
      <c r="X14"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206"/>
      <c r="AA14" s="193"/>
      <c r="AB14" s="202"/>
      <c r="AC14" s="193"/>
      <c r="AD14" s="193"/>
      <c r="AE14" s="193"/>
      <c r="AF14" s="197"/>
      <c r="AG14" s="197"/>
      <c r="AH14" s="197"/>
      <c r="AI14" s="197"/>
      <c r="AJ14" s="203"/>
      <c r="AK14"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9" t="e">
        <f>(1 - ((1 - VLOOKUP(Table4[[#This Row],[ConfidentialityP]],'Reference - CVSSv3.0'!$B$15:$C$17,2,FALSE)) * (1 - VLOOKUP(Table4[[#This Row],[IntegrityP]],'Reference - CVSSv3.0'!$B$15:$C$17,2,FALSE)) *  (1 - VLOOKUP(Table4[[#This Row],[AvailabilityP]],'Reference - CVSSv3.0'!$B$15:$C$17,2,FALSE))))</f>
        <v>#N/A</v>
      </c>
      <c r="AM14" s="199" t="e">
        <f>IF(Table4[[#This Row],[ScopeP]]="Unchanged",6.42*Table4[[#This Row],[ISC BaseP]],IF(Table4[[#This Row],[ScopeP]]="Changed",7.52*(Table4[[#This Row],[ISC BaseP]] - 0.029) - 3.25 * POWER(Table4[[#This Row],[ISC BaseP]] - 0.02,15),NA()))</f>
        <v>#N/A</v>
      </c>
      <c r="AN14"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193"/>
    </row>
    <row r="15" spans="1:45" ht="57">
      <c r="A15" s="192">
        <v>11</v>
      </c>
      <c r="B15" s="51" t="s">
        <v>127</v>
      </c>
      <c r="C15" s="194" t="str">
        <f>IF(VLOOKUP(Table4[[#This Row],[T ID]],Table5[#All],5,FALSE)="No","Not in scope",VLOOKUP(Table4[[#This Row],[T ID]],Table5[#All],2,FALSE))</f>
        <v>Improper access/modification of audit log</v>
      </c>
      <c r="D15" s="193" t="s">
        <v>219</v>
      </c>
      <c r="E15" s="194" t="str">
        <f>IF(VLOOKUP(Table4[[#This Row],[V ID]],Vulnerabilities[#All],3,FALSE)="No","Not in scope",VLOOKUP(Table4[[#This Row],[V ID]],Vulnerabilities[#All],2,FALSE))</f>
        <v>Log Files: Audit Log Manipulation, Log Injection-Tampering-Forging</v>
      </c>
      <c r="F15" s="195" t="s">
        <v>12</v>
      </c>
      <c r="G15" s="194" t="str">
        <f>VLOOKUP(Table4[[#This Row],[A ID]],Assets[#All],3,FALSE)</f>
        <v>Knee balancer application</v>
      </c>
      <c r="H15" s="41" t="s">
        <v>256</v>
      </c>
      <c r="I15" s="193"/>
      <c r="J15" s="196" t="s">
        <v>114</v>
      </c>
      <c r="K15" s="196" t="s">
        <v>119</v>
      </c>
      <c r="L15" s="196" t="s">
        <v>114</v>
      </c>
      <c r="M15" s="197" t="s">
        <v>117</v>
      </c>
      <c r="N15" s="197" t="s">
        <v>112</v>
      </c>
      <c r="O15" s="197" t="s">
        <v>112</v>
      </c>
      <c r="P15" s="197" t="s">
        <v>114</v>
      </c>
      <c r="Q15" s="197" t="s">
        <v>115</v>
      </c>
      <c r="R15"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9">
        <f>(1 - ((1 - VLOOKUP(Table4[[#This Row],[Confidentiality]],'Reference - CVSSv3.0'!$B$15:$C$17,2,FALSE)) * (1 - VLOOKUP(Table4[[#This Row],[Integrity]],'Reference - CVSSv3.0'!$B$15:$C$17,2,FALSE)) *  (1 - VLOOKUP(Table4[[#This Row],[Availability]],'Reference - CVSSv3.0'!$B$15:$C$17,2,FALSE))))</f>
        <v>0.56000000000000005</v>
      </c>
      <c r="T15" s="199">
        <f>IF(Table4[[#This Row],[Scope]]="Unchanged",6.42*Table4[[#This Row],[ISC Base]],IF(Table4[[#This Row],[Scope]]="Changed",7.52*(Table4[[#This Row],[ISC Base]] - 0.029) - 3.25 * POWER(Table4[[#This Row],[ISC Base]] - 0.02,15),NA()))</f>
        <v>3.5952000000000002</v>
      </c>
      <c r="U15"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200" t="s">
        <v>112</v>
      </c>
      <c r="W15" s="199">
        <f>VLOOKUP(Table4[[#This Row],[Threat Event Initiation]],NIST_Scale_LOAI[],2,FALSE)</f>
        <v>0.2</v>
      </c>
      <c r="X15"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206"/>
      <c r="AA15" s="193"/>
      <c r="AB15" s="202"/>
      <c r="AC15" s="193"/>
      <c r="AD15" s="193"/>
      <c r="AE15" s="193"/>
      <c r="AF15" s="197"/>
      <c r="AG15" s="197"/>
      <c r="AH15" s="197"/>
      <c r="AI15" s="197"/>
      <c r="AJ15" s="203"/>
      <c r="AK15"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9" t="e">
        <f>(1 - ((1 - VLOOKUP(Table4[[#This Row],[ConfidentialityP]],'Reference - CVSSv3.0'!$B$15:$C$17,2,FALSE)) * (1 - VLOOKUP(Table4[[#This Row],[IntegrityP]],'Reference - CVSSv3.0'!$B$15:$C$17,2,FALSE)) *  (1 - VLOOKUP(Table4[[#This Row],[AvailabilityP]],'Reference - CVSSv3.0'!$B$15:$C$17,2,FALSE))))</f>
        <v>#N/A</v>
      </c>
      <c r="AM15" s="199" t="e">
        <f>IF(Table4[[#This Row],[ScopeP]]="Unchanged",6.42*Table4[[#This Row],[ISC BaseP]],IF(Table4[[#This Row],[ScopeP]]="Changed",7.52*(Table4[[#This Row],[ISC BaseP]] - 0.029) - 3.25 * POWER(Table4[[#This Row],[ISC BaseP]] - 0.02,15),NA()))</f>
        <v>#N/A</v>
      </c>
      <c r="AN15"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193"/>
    </row>
    <row r="16" spans="1:45" ht="85.5">
      <c r="A16" s="218">
        <v>12</v>
      </c>
      <c r="B16" s="51" t="s">
        <v>282</v>
      </c>
      <c r="C16" s="219" t="str">
        <f>IF(VLOOKUP(Table4[[#This Row],[T ID]],Table5[#All],5,FALSE)="No","Not in scope",VLOOKUP(Table4[[#This Row],[T ID]],Table5[#All],2,FALSE))</f>
        <v>Corrupting the binaries/injecting malicious source code in Application</v>
      </c>
      <c r="D16" s="213" t="s">
        <v>44</v>
      </c>
      <c r="E16" s="219" t="str">
        <f>IF(VLOOKUP(Table4[[#This Row],[V ID]],Vulnerabilities[#All],3,FALSE)="No","Not in scope",VLOOKUP(Table4[[#This Row],[V ID]],Vulnerabilities[#All],2,FALSE))</f>
        <v xml:space="preserve">3rd Party Component Dependency &amp; Vulnerabilities in Application  </v>
      </c>
      <c r="F16" s="243" t="s">
        <v>12</v>
      </c>
      <c r="G16" s="219" t="str">
        <f>VLOOKUP(Table4[[#This Row],[A ID]],Assets[#All],3,FALSE)</f>
        <v>Knee balancer application</v>
      </c>
      <c r="H16" s="178" t="s">
        <v>319</v>
      </c>
      <c r="I16" s="213"/>
      <c r="J16" s="221" t="s">
        <v>114</v>
      </c>
      <c r="K16" s="221" t="s">
        <v>114</v>
      </c>
      <c r="L16" s="221" t="s">
        <v>119</v>
      </c>
      <c r="M16" s="222" t="s">
        <v>117</v>
      </c>
      <c r="N16" s="222" t="s">
        <v>112</v>
      </c>
      <c r="O16" s="222" t="s">
        <v>112</v>
      </c>
      <c r="P16" s="222" t="s">
        <v>114</v>
      </c>
      <c r="Q16" s="222" t="s">
        <v>115</v>
      </c>
      <c r="R16"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224">
        <f>(1 - ((1 - VLOOKUP(Table4[[#This Row],[Confidentiality]],'Reference - CVSSv3.0'!$B$15:$C$17,2,FALSE)) * (1 - VLOOKUP(Table4[[#This Row],[Integrity]],'Reference - CVSSv3.0'!$B$15:$C$17,2,FALSE)) *  (1 - VLOOKUP(Table4[[#This Row],[Availability]],'Reference - CVSSv3.0'!$B$15:$C$17,2,FALSE))))</f>
        <v>0.56000000000000005</v>
      </c>
      <c r="T16" s="224">
        <f>IF(Table4[[#This Row],[Scope]]="Unchanged",6.42*Table4[[#This Row],[ISC Base]],IF(Table4[[#This Row],[Scope]]="Changed",7.52*(Table4[[#This Row],[ISC Base]] - 0.029) - 3.25 * POWER(Table4[[#This Row],[ISC Base]] - 0.02,15),NA()))</f>
        <v>3.5952000000000002</v>
      </c>
      <c r="U16"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225" t="s">
        <v>112</v>
      </c>
      <c r="W16" s="224">
        <f>VLOOKUP(Table4[[#This Row],[Threat Event Initiation]],NIST_Scale_LOAI[],2,FALSE)</f>
        <v>0.2</v>
      </c>
      <c r="X16"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214"/>
      <c r="AA16" s="213"/>
      <c r="AB16" s="227"/>
      <c r="AC16" s="213"/>
      <c r="AD16" s="213"/>
      <c r="AE16" s="213"/>
      <c r="AF16" s="222"/>
      <c r="AG16" s="222"/>
      <c r="AH16" s="222"/>
      <c r="AI16" s="222"/>
      <c r="AJ16" s="228"/>
      <c r="AK16"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224" t="e">
        <f>(1 - ((1 - VLOOKUP(Table4[[#This Row],[ConfidentialityP]],'Reference - CVSSv3.0'!$B$15:$C$17,2,FALSE)) * (1 - VLOOKUP(Table4[[#This Row],[IntegrityP]],'Reference - CVSSv3.0'!$B$15:$C$17,2,FALSE)) *  (1 - VLOOKUP(Table4[[#This Row],[AvailabilityP]],'Reference - CVSSv3.0'!$B$15:$C$17,2,FALSE))))</f>
        <v>#N/A</v>
      </c>
      <c r="AM16" s="224" t="e">
        <f>IF(Table4[[#This Row],[ScopeP]]="Unchanged",6.42*Table4[[#This Row],[ISC BaseP]],IF(Table4[[#This Row],[ScopeP]]="Changed",7.52*(Table4[[#This Row],[ISC BaseP]] - 0.029) - 3.25 * POWER(Table4[[#This Row],[ISC BaseP]] - 0.02,15),NA()))</f>
        <v>#N/A</v>
      </c>
      <c r="AN16"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213"/>
    </row>
    <row r="17" spans="1:43" ht="42.75">
      <c r="A17" s="218">
        <v>13</v>
      </c>
      <c r="B17" s="51" t="s">
        <v>299</v>
      </c>
      <c r="C17" s="219" t="str">
        <f>IF(VLOOKUP(Table4[[#This Row],[T ID]],Table5[#All],5,FALSE)="No","Not in scope",VLOOKUP(Table4[[#This Row],[T ID]],Table5[#All],2,FALSE))</f>
        <v xml:space="preserve">Improper access/modification of Stryker IP  data </v>
      </c>
      <c r="D17" s="213" t="s">
        <v>37</v>
      </c>
      <c r="E17" s="219" t="str">
        <f>IF(VLOOKUP(Table4[[#This Row],[V ID]],Vulnerabilities[#All],3,FALSE)="No","Not in scope",VLOOKUP(Table4[[#This Row],[V ID]],Vulnerabilities[#All],2,FALSE))</f>
        <v>Improper Storage of Stryker IP data</v>
      </c>
      <c r="F17" s="220" t="s">
        <v>296</v>
      </c>
      <c r="G17" s="219" t="str">
        <f>VLOOKUP(Table4[[#This Row],[A ID]],Assets[#All],3,FALSE)</f>
        <v>Stryker IP data</v>
      </c>
      <c r="H17" s="61" t="s">
        <v>318</v>
      </c>
      <c r="I17" s="213"/>
      <c r="J17" s="221" t="s">
        <v>114</v>
      </c>
      <c r="K17" s="221" t="s">
        <v>119</v>
      </c>
      <c r="L17" s="221" t="s">
        <v>112</v>
      </c>
      <c r="M17" s="222" t="s">
        <v>117</v>
      </c>
      <c r="N17" s="222" t="s">
        <v>112</v>
      </c>
      <c r="O17" s="222" t="s">
        <v>112</v>
      </c>
      <c r="P17" s="222" t="s">
        <v>114</v>
      </c>
      <c r="Q17" s="222" t="s">
        <v>115</v>
      </c>
      <c r="R17"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224">
        <f>(1 - ((1 - VLOOKUP(Table4[[#This Row],[Confidentiality]],'Reference - CVSSv3.0'!$B$15:$C$17,2,FALSE)) * (1 - VLOOKUP(Table4[[#This Row],[Integrity]],'Reference - CVSSv3.0'!$B$15:$C$17,2,FALSE)) *  (1 - VLOOKUP(Table4[[#This Row],[Availability]],'Reference - CVSSv3.0'!$B$15:$C$17,2,FALSE))))</f>
        <v>0.65680000000000005</v>
      </c>
      <c r="T17" s="224">
        <f>IF(Table4[[#This Row],[Scope]]="Unchanged",6.42*Table4[[#This Row],[ISC Base]],IF(Table4[[#This Row],[Scope]]="Changed",7.52*(Table4[[#This Row],[ISC Base]] - 0.029) - 3.25 * POWER(Table4[[#This Row],[ISC Base]] - 0.02,15),NA()))</f>
        <v>4.2166560000000004</v>
      </c>
      <c r="U17" s="224">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225" t="s">
        <v>112</v>
      </c>
      <c r="W17" s="224">
        <f>VLOOKUP(Table4[[#This Row],[Threat Event Initiation]],NIST_Scale_LOAI[],2,FALSE)</f>
        <v>0.2</v>
      </c>
      <c r="X17"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214"/>
      <c r="AA17" s="213"/>
      <c r="AB17" s="227"/>
      <c r="AC17" s="213"/>
      <c r="AD17" s="213"/>
      <c r="AE17" s="213"/>
      <c r="AF17" s="222"/>
      <c r="AG17" s="222"/>
      <c r="AH17" s="222"/>
      <c r="AI17" s="222"/>
      <c r="AJ17" s="228"/>
      <c r="AK17"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224" t="e">
        <f>(1 - ((1 - VLOOKUP(Table4[[#This Row],[ConfidentialityP]],'Reference - CVSSv3.0'!$B$15:$C$17,2,FALSE)) * (1 - VLOOKUP(Table4[[#This Row],[IntegrityP]],'Reference - CVSSv3.0'!$B$15:$C$17,2,FALSE)) *  (1 - VLOOKUP(Table4[[#This Row],[AvailabilityP]],'Reference - CVSSv3.0'!$B$15:$C$17,2,FALSE))))</f>
        <v>#N/A</v>
      </c>
      <c r="AM17" s="224" t="e">
        <f>IF(Table4[[#This Row],[ScopeP]]="Unchanged",6.42*Table4[[#This Row],[ISC BaseP]],IF(Table4[[#This Row],[ScopeP]]="Changed",7.52*(Table4[[#This Row],[ISC BaseP]] - 0.029) - 3.25 * POWER(Table4[[#This Row],[ISC BaseP]] - 0.02,15),NA()))</f>
        <v>#N/A</v>
      </c>
      <c r="AN17"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213"/>
    </row>
    <row r="18" spans="1:43" ht="42.75">
      <c r="A18" s="230">
        <v>14</v>
      </c>
      <c r="B18" s="231" t="s">
        <v>300</v>
      </c>
      <c r="C18" s="232" t="str">
        <f>IF(VLOOKUP(Table4[[#This Row],[T ID]],Table5[#All],5,FALSE)="No","Not in scope",VLOOKUP(Table4[[#This Row],[T ID]],Table5[#All],2,FALSE))</f>
        <v>Improper validation/assessment of 3rd party components (libs, fw, etc..)</v>
      </c>
      <c r="D18" s="231" t="s">
        <v>44</v>
      </c>
      <c r="E18" s="232" t="str">
        <f>IF(VLOOKUP(Table4[[#This Row],[V ID]],Vulnerabilities[#All],3,FALSE)="No","Not in scope",VLOOKUP(Table4[[#This Row],[V ID]],Vulnerabilities[#All],2,FALSE))</f>
        <v xml:space="preserve">3rd Party Component Dependency &amp; Vulnerabilities in Application  </v>
      </c>
      <c r="F18" s="243" t="s">
        <v>12</v>
      </c>
      <c r="G18" s="232" t="str">
        <f>VLOOKUP(Table4[[#This Row],[A ID]],Assets[#All],3,FALSE)</f>
        <v>Knee balancer application</v>
      </c>
      <c r="H18" s="178" t="s">
        <v>320</v>
      </c>
      <c r="I18" s="231"/>
      <c r="J18" s="234" t="s">
        <v>114</v>
      </c>
      <c r="K18" s="234" t="s">
        <v>114</v>
      </c>
      <c r="L18" s="234" t="s">
        <v>119</v>
      </c>
      <c r="M18" s="235" t="s">
        <v>117</v>
      </c>
      <c r="N18" s="235" t="s">
        <v>112</v>
      </c>
      <c r="O18" s="235" t="s">
        <v>112</v>
      </c>
      <c r="P18" s="235" t="s">
        <v>114</v>
      </c>
      <c r="Q18" s="235" t="s">
        <v>115</v>
      </c>
      <c r="R18"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237">
        <f>(1 - ((1 - VLOOKUP(Table4[[#This Row],[Confidentiality]],'Reference - CVSSv3.0'!$B$15:$C$17,2,FALSE)) * (1 - VLOOKUP(Table4[[#This Row],[Integrity]],'Reference - CVSSv3.0'!$B$15:$C$17,2,FALSE)) *  (1 - VLOOKUP(Table4[[#This Row],[Availability]],'Reference - CVSSv3.0'!$B$15:$C$17,2,FALSE))))</f>
        <v>0.56000000000000005</v>
      </c>
      <c r="T18" s="237">
        <f>IF(Table4[[#This Row],[Scope]]="Unchanged",6.42*Table4[[#This Row],[ISC Base]],IF(Table4[[#This Row],[Scope]]="Changed",7.52*(Table4[[#This Row],[ISC Base]] - 0.029) - 3.25 * POWER(Table4[[#This Row],[ISC Base]] - 0.02,15),NA()))</f>
        <v>3.5952000000000002</v>
      </c>
      <c r="U18"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238" t="s">
        <v>112</v>
      </c>
      <c r="W18" s="237">
        <f>VLOOKUP(Table4[[#This Row],[Threat Event Initiation]],NIST_Scale_LOAI[],2,FALSE)</f>
        <v>0.2</v>
      </c>
      <c r="X18"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231"/>
      <c r="AA18" s="231"/>
      <c r="AB18" s="240"/>
      <c r="AC18" s="231"/>
      <c r="AD18" s="231"/>
      <c r="AE18" s="231"/>
      <c r="AF18" s="235"/>
      <c r="AG18" s="235"/>
      <c r="AH18" s="235"/>
      <c r="AI18" s="235"/>
      <c r="AJ18" s="241"/>
      <c r="AK18"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237" t="e">
        <f>(1 - ((1 - VLOOKUP(Table4[[#This Row],[ConfidentialityP]],'Reference - CVSSv3.0'!$B$15:$C$17,2,FALSE)) * (1 - VLOOKUP(Table4[[#This Row],[IntegrityP]],'Reference - CVSSv3.0'!$B$15:$C$17,2,FALSE)) *  (1 - VLOOKUP(Table4[[#This Row],[AvailabilityP]],'Reference - CVSSv3.0'!$B$15:$C$17,2,FALSE))))</f>
        <v>#N/A</v>
      </c>
      <c r="AM18" s="237" t="e">
        <f>IF(Table4[[#This Row],[ScopeP]]="Unchanged",6.42*Table4[[#This Row],[ISC BaseP]],IF(Table4[[#This Row],[ScopeP]]="Changed",7.52*(Table4[[#This Row],[ISC BaseP]] - 0.029) - 3.25 * POWER(Table4[[#This Row],[ISC BaseP]] - 0.02,15),NA()))</f>
        <v>#N/A</v>
      </c>
      <c r="AN18"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231"/>
    </row>
    <row r="19" spans="1:43" ht="42.75">
      <c r="A19" s="230">
        <v>15</v>
      </c>
      <c r="B19" s="231" t="s">
        <v>304</v>
      </c>
      <c r="C19" s="232" t="str">
        <f>IF(VLOOKUP(Table4[[#This Row],[T ID]],Table5[#All],5,FALSE)="No","Not in scope",VLOOKUP(Table4[[#This Row],[T ID]],Table5[#All],2,FALSE))</f>
        <v>Application running on the abnormal device (jailbroken)</v>
      </c>
      <c r="D19" s="231" t="s">
        <v>280</v>
      </c>
      <c r="E19" s="232" t="str">
        <f>IF(VLOOKUP(Table4[[#This Row],[V ID]],Vulnerabilities[#All],3,FALSE)="No","Not in scope",VLOOKUP(Table4[[#This Row],[V ID]],Vulnerabilities[#All],2,FALSE))</f>
        <v>Device deviated from the normal functionality (jailbroken)</v>
      </c>
      <c r="F19" s="233" t="s">
        <v>12</v>
      </c>
      <c r="G19" s="232" t="str">
        <f>VLOOKUP(Table4[[#This Row],[A ID]],Assets[#All],3,FALSE)</f>
        <v>Knee balancer application</v>
      </c>
      <c r="H19" s="244" t="s">
        <v>321</v>
      </c>
      <c r="I19" s="231"/>
      <c r="J19" s="234" t="s">
        <v>114</v>
      </c>
      <c r="K19" s="234" t="s">
        <v>114</v>
      </c>
      <c r="L19" s="234" t="s">
        <v>119</v>
      </c>
      <c r="M19" s="235" t="s">
        <v>117</v>
      </c>
      <c r="N19" s="235" t="s">
        <v>112</v>
      </c>
      <c r="O19" s="235" t="s">
        <v>114</v>
      </c>
      <c r="P19" s="235" t="s">
        <v>114</v>
      </c>
      <c r="Q19" s="235" t="s">
        <v>115</v>
      </c>
      <c r="R19"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237">
        <f>(1 - ((1 - VLOOKUP(Table4[[#This Row],[Confidentiality]],'Reference - CVSSv3.0'!$B$15:$C$17,2,FALSE)) * (1 - VLOOKUP(Table4[[#This Row],[Integrity]],'Reference - CVSSv3.0'!$B$15:$C$17,2,FALSE)) *  (1 - VLOOKUP(Table4[[#This Row],[Availability]],'Reference - CVSSv3.0'!$B$15:$C$17,2,FALSE))))</f>
        <v>0.56000000000000005</v>
      </c>
      <c r="T19" s="237">
        <f>IF(Table4[[#This Row],[Scope]]="Unchanged",6.42*Table4[[#This Row],[ISC Base]],IF(Table4[[#This Row],[Scope]]="Changed",7.52*(Table4[[#This Row],[ISC Base]] - 0.029) - 3.25 * POWER(Table4[[#This Row],[ISC Base]] - 0.02,15),NA()))</f>
        <v>3.5952000000000002</v>
      </c>
      <c r="U19" s="237">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238" t="s">
        <v>112</v>
      </c>
      <c r="W19" s="237">
        <f>VLOOKUP(Table4[[#This Row],[Threat Event Initiation]],NIST_Scale_LOAI[],2,FALSE)</f>
        <v>0.2</v>
      </c>
      <c r="X19"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231"/>
      <c r="AA19" s="231"/>
      <c r="AB19" s="240"/>
      <c r="AC19" s="231"/>
      <c r="AD19" s="231"/>
      <c r="AE19" s="231"/>
      <c r="AF19" s="235"/>
      <c r="AG19" s="235"/>
      <c r="AH19" s="235"/>
      <c r="AI19" s="235"/>
      <c r="AJ19" s="241"/>
      <c r="AK19"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237" t="e">
        <f>(1 - ((1 - VLOOKUP(Table4[[#This Row],[ConfidentialityP]],'Reference - CVSSv3.0'!$B$15:$C$17,2,FALSE)) * (1 - VLOOKUP(Table4[[#This Row],[IntegrityP]],'Reference - CVSSv3.0'!$B$15:$C$17,2,FALSE)) *  (1 - VLOOKUP(Table4[[#This Row],[AvailabilityP]],'Reference - CVSSv3.0'!$B$15:$C$17,2,FALSE))))</f>
        <v>#N/A</v>
      </c>
      <c r="AM19" s="237" t="e">
        <f>IF(Table4[[#This Row],[ScopeP]]="Unchanged",6.42*Table4[[#This Row],[ISC BaseP]],IF(Table4[[#This Row],[ScopeP]]="Changed",7.52*(Table4[[#This Row],[ISC BaseP]] - 0.029) - 3.25 * POWER(Table4[[#This Row],[ISC BaseP]] - 0.02,15),NA()))</f>
        <v>#N/A</v>
      </c>
      <c r="AN19"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231"/>
    </row>
    <row r="20" spans="1:43" ht="42.75">
      <c r="A20" s="218">
        <v>16</v>
      </c>
      <c r="B20" s="231" t="s">
        <v>307</v>
      </c>
      <c r="C20" s="219" t="str">
        <f>IF(VLOOKUP(Table4[[#This Row],[T ID]],Table5[#All],5,FALSE)="No","Not in scope",VLOOKUP(Table4[[#This Row],[T ID]],Table5[#All],2,FALSE))</f>
        <v>Missing data with factory reset</v>
      </c>
      <c r="D20" s="231" t="s">
        <v>305</v>
      </c>
      <c r="E20" s="219" t="str">
        <f>IF(VLOOKUP(Table4[[#This Row],[V ID]],Vulnerabilities[#All],3,FALSE)="No","Not in scope",VLOOKUP(Table4[[#This Row],[V ID]],Vulnerabilities[#All],2,FALSE))</f>
        <v>Irregular upload of case data to cloud storage</v>
      </c>
      <c r="F20" s="220" t="s">
        <v>10</v>
      </c>
      <c r="G20" s="219" t="str">
        <f>VLOOKUP(Table4[[#This Row],[A ID]],Assets[#All],3,FALSE)</f>
        <v>Mobile Device (iPad, iPhone V8-13)</v>
      </c>
      <c r="H20" s="244" t="s">
        <v>317</v>
      </c>
      <c r="I20" s="213"/>
      <c r="J20" s="221" t="s">
        <v>114</v>
      </c>
      <c r="K20" s="221" t="s">
        <v>114</v>
      </c>
      <c r="L20" s="221" t="s">
        <v>119</v>
      </c>
      <c r="M20" s="222" t="s">
        <v>117</v>
      </c>
      <c r="N20" s="222" t="s">
        <v>112</v>
      </c>
      <c r="O20" s="222" t="s">
        <v>112</v>
      </c>
      <c r="P20" s="222" t="s">
        <v>114</v>
      </c>
      <c r="Q20" s="222" t="s">
        <v>115</v>
      </c>
      <c r="R20"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224">
        <f>(1 - ((1 - VLOOKUP(Table4[[#This Row],[Confidentiality]],'Reference - CVSSv3.0'!$B$15:$C$17,2,FALSE)) * (1 - VLOOKUP(Table4[[#This Row],[Integrity]],'Reference - CVSSv3.0'!$B$15:$C$17,2,FALSE)) *  (1 - VLOOKUP(Table4[[#This Row],[Availability]],'Reference - CVSSv3.0'!$B$15:$C$17,2,FALSE))))</f>
        <v>0.56000000000000005</v>
      </c>
      <c r="T20" s="224">
        <f>IF(Table4[[#This Row],[Scope]]="Unchanged",6.42*Table4[[#This Row],[ISC Base]],IF(Table4[[#This Row],[Scope]]="Changed",7.52*(Table4[[#This Row],[ISC Base]] - 0.029) - 3.25 * POWER(Table4[[#This Row],[ISC Base]] - 0.02,15),NA()))</f>
        <v>3.5952000000000002</v>
      </c>
      <c r="U20"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225" t="s">
        <v>112</v>
      </c>
      <c r="W20" s="224">
        <f>VLOOKUP(Table4[[#This Row],[Threat Event Initiation]],NIST_Scale_LOAI[],2,FALSE)</f>
        <v>0.2</v>
      </c>
      <c r="X20"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213"/>
      <c r="AA20" s="213"/>
      <c r="AB20" s="227"/>
      <c r="AC20" s="213"/>
      <c r="AD20" s="213"/>
      <c r="AE20" s="213"/>
      <c r="AF20" s="222"/>
      <c r="AG20" s="222"/>
      <c r="AH20" s="222"/>
      <c r="AI20" s="222"/>
      <c r="AJ20" s="228"/>
      <c r="AK20"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224" t="e">
        <f>(1 - ((1 - VLOOKUP(Table4[[#This Row],[ConfidentialityP]],'Reference - CVSSv3.0'!$B$15:$C$17,2,FALSE)) * (1 - VLOOKUP(Table4[[#This Row],[IntegrityP]],'Reference - CVSSv3.0'!$B$15:$C$17,2,FALSE)) *  (1 - VLOOKUP(Table4[[#This Row],[AvailabilityP]],'Reference - CVSSv3.0'!$B$15:$C$17,2,FALSE))))</f>
        <v>#N/A</v>
      </c>
      <c r="AM20" s="224" t="e">
        <f>IF(Table4[[#This Row],[ScopeP]]="Unchanged",6.42*Table4[[#This Row],[ISC BaseP]],IF(Table4[[#This Row],[ScopeP]]="Changed",7.52*(Table4[[#This Row],[ISC BaseP]] - 0.029) - 3.25 * POWER(Table4[[#This Row],[ISC BaseP]] - 0.02,15),NA()))</f>
        <v>#N/A</v>
      </c>
      <c r="AN20"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213"/>
    </row>
    <row r="21" spans="1:43" ht="28.5">
      <c r="A21" s="218">
        <v>17</v>
      </c>
      <c r="B21" s="231" t="s">
        <v>310</v>
      </c>
      <c r="C21" s="219" t="str">
        <f>IF(VLOOKUP(Table4[[#This Row],[T ID]],Table5[#All],5,FALSE)="No","Not in scope",VLOOKUP(Table4[[#This Row],[T ID]],Table5[#All],2,FALSE))</f>
        <v>Exposed SAS (token/URL/Key) to unauthorized parties</v>
      </c>
      <c r="D21" s="213" t="s">
        <v>224</v>
      </c>
      <c r="E21" s="219" t="str">
        <f>IF(VLOOKUP(Table4[[#This Row],[V ID]],Vulnerabilities[#All],3,FALSE)="No","Not in scope",VLOOKUP(Table4[[#This Row],[V ID]],Vulnerabilities[#All],2,FALSE))</f>
        <v>Compromised SAS URL's for blob storage</v>
      </c>
      <c r="F21" s="220" t="s">
        <v>22</v>
      </c>
      <c r="G21" s="219" t="str">
        <f>VLOOKUP(Table4[[#This Row],[A ID]],Assets[#All],3,FALSE)</f>
        <v>Cloud interface &amp; Storage</v>
      </c>
      <c r="H21" s="244" t="s">
        <v>316</v>
      </c>
      <c r="I21" s="213"/>
      <c r="J21" s="221" t="s">
        <v>119</v>
      </c>
      <c r="K21" s="221" t="s">
        <v>114</v>
      </c>
      <c r="L21" s="221" t="s">
        <v>114</v>
      </c>
      <c r="M21" s="222" t="s">
        <v>117</v>
      </c>
      <c r="N21" s="222" t="s">
        <v>112</v>
      </c>
      <c r="O21" s="222" t="s">
        <v>112</v>
      </c>
      <c r="P21" s="222" t="s">
        <v>114</v>
      </c>
      <c r="Q21" s="222" t="s">
        <v>115</v>
      </c>
      <c r="R21"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224">
        <f>(1 - ((1 - VLOOKUP(Table4[[#This Row],[Confidentiality]],'Reference - CVSSv3.0'!$B$15:$C$17,2,FALSE)) * (1 - VLOOKUP(Table4[[#This Row],[Integrity]],'Reference - CVSSv3.0'!$B$15:$C$17,2,FALSE)) *  (1 - VLOOKUP(Table4[[#This Row],[Availability]],'Reference - CVSSv3.0'!$B$15:$C$17,2,FALSE))))</f>
        <v>0.56000000000000005</v>
      </c>
      <c r="T21" s="224">
        <f>IF(Table4[[#This Row],[Scope]]="Unchanged",6.42*Table4[[#This Row],[ISC Base]],IF(Table4[[#This Row],[Scope]]="Changed",7.52*(Table4[[#This Row],[ISC Base]] - 0.029) - 3.25 * POWER(Table4[[#This Row],[ISC Base]] - 0.02,15),NA()))</f>
        <v>3.5952000000000002</v>
      </c>
      <c r="U21"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225" t="s">
        <v>112</v>
      </c>
      <c r="W21" s="224">
        <f>VLOOKUP(Table4[[#This Row],[Threat Event Initiation]],NIST_Scale_LOAI[],2,FALSE)</f>
        <v>0.2</v>
      </c>
      <c r="X21"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213"/>
      <c r="AA21" s="213"/>
      <c r="AB21" s="227"/>
      <c r="AC21" s="213"/>
      <c r="AD21" s="213"/>
      <c r="AE21" s="213"/>
      <c r="AF21" s="222"/>
      <c r="AG21" s="222"/>
      <c r="AH21" s="222"/>
      <c r="AI21" s="222"/>
      <c r="AJ21" s="228"/>
      <c r="AK21"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224" t="e">
        <f>(1 - ((1 - VLOOKUP(Table4[[#This Row],[ConfidentialityP]],'Reference - CVSSv3.0'!$B$15:$C$17,2,FALSE)) * (1 - VLOOKUP(Table4[[#This Row],[IntegrityP]],'Reference - CVSSv3.0'!$B$15:$C$17,2,FALSE)) *  (1 - VLOOKUP(Table4[[#This Row],[AvailabilityP]],'Reference - CVSSv3.0'!$B$15:$C$17,2,FALSE))))</f>
        <v>#N/A</v>
      </c>
      <c r="AM21" s="224" t="e">
        <f>IF(Table4[[#This Row],[ScopeP]]="Unchanged",6.42*Table4[[#This Row],[ISC BaseP]],IF(Table4[[#This Row],[ScopeP]]="Changed",7.52*(Table4[[#This Row],[ISC BaseP]] - 0.029) - 3.25 * POWER(Table4[[#This Row],[ISC BaseP]] - 0.02,15),NA()))</f>
        <v>#N/A</v>
      </c>
      <c r="AN21"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213"/>
    </row>
    <row r="22" spans="1:43" ht="28.5">
      <c r="A22" s="218">
        <v>18</v>
      </c>
      <c r="B22" s="231" t="s">
        <v>310</v>
      </c>
      <c r="C22" s="219" t="str">
        <f>IF(VLOOKUP(Table4[[#This Row],[T ID]],Table5[#All],5,FALSE)="No","Not in scope",VLOOKUP(Table4[[#This Row],[T ID]],Table5[#All],2,FALSE))</f>
        <v>Exposed SAS (token/URL/Key) to unauthorized parties</v>
      </c>
      <c r="D22" s="213" t="s">
        <v>292</v>
      </c>
      <c r="E22" s="219" t="str">
        <f>IF(VLOOKUP(Table4[[#This Row],[V ID]],Vulnerabilities[#All],3,FALSE)="No","Not in scope",VLOOKUP(Table4[[#This Row],[V ID]],Vulnerabilities[#All],2,FALSE))</f>
        <v>Sharing the SAS URL in unsecured channel</v>
      </c>
      <c r="F22" s="220" t="s">
        <v>22</v>
      </c>
      <c r="G22" s="219" t="str">
        <f>VLOOKUP(Table4[[#This Row],[A ID]],Assets[#All],3,FALSE)</f>
        <v>Cloud interface &amp; Storage</v>
      </c>
      <c r="H22" s="244" t="s">
        <v>316</v>
      </c>
      <c r="I22" s="213"/>
      <c r="J22" s="221" t="s">
        <v>114</v>
      </c>
      <c r="K22" s="221" t="s">
        <v>114</v>
      </c>
      <c r="L22" s="221" t="s">
        <v>119</v>
      </c>
      <c r="M22" s="222" t="s">
        <v>117</v>
      </c>
      <c r="N22" s="222" t="s">
        <v>112</v>
      </c>
      <c r="O22" s="222" t="s">
        <v>112</v>
      </c>
      <c r="P22" s="222" t="s">
        <v>114</v>
      </c>
      <c r="Q22" s="222" t="s">
        <v>115</v>
      </c>
      <c r="R22"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224">
        <f>(1 - ((1 - VLOOKUP(Table4[[#This Row],[Confidentiality]],'Reference - CVSSv3.0'!$B$15:$C$17,2,FALSE)) * (1 - VLOOKUP(Table4[[#This Row],[Integrity]],'Reference - CVSSv3.0'!$B$15:$C$17,2,FALSE)) *  (1 - VLOOKUP(Table4[[#This Row],[Availability]],'Reference - CVSSv3.0'!$B$15:$C$17,2,FALSE))))</f>
        <v>0.56000000000000005</v>
      </c>
      <c r="T22" s="224">
        <f>IF(Table4[[#This Row],[Scope]]="Unchanged",6.42*Table4[[#This Row],[ISC Base]],IF(Table4[[#This Row],[Scope]]="Changed",7.52*(Table4[[#This Row],[ISC Base]] - 0.029) - 3.25 * POWER(Table4[[#This Row],[ISC Base]] - 0.02,15),NA()))</f>
        <v>3.5952000000000002</v>
      </c>
      <c r="U22"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225" t="s">
        <v>112</v>
      </c>
      <c r="W22" s="224">
        <f>VLOOKUP(Table4[[#This Row],[Threat Event Initiation]],NIST_Scale_LOAI[],2,FALSE)</f>
        <v>0.2</v>
      </c>
      <c r="X22"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213"/>
      <c r="AA22" s="213"/>
      <c r="AB22" s="227"/>
      <c r="AC22" s="213"/>
      <c r="AD22" s="213"/>
      <c r="AE22" s="213"/>
      <c r="AF22" s="222"/>
      <c r="AG22" s="222"/>
      <c r="AH22" s="222"/>
      <c r="AI22" s="222"/>
      <c r="AJ22" s="228"/>
      <c r="AK22"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224" t="e">
        <f>(1 - ((1 - VLOOKUP(Table4[[#This Row],[ConfidentialityP]],'Reference - CVSSv3.0'!$B$15:$C$17,2,FALSE)) * (1 - VLOOKUP(Table4[[#This Row],[IntegrityP]],'Reference - CVSSv3.0'!$B$15:$C$17,2,FALSE)) *  (1 - VLOOKUP(Table4[[#This Row],[AvailabilityP]],'Reference - CVSSv3.0'!$B$15:$C$17,2,FALSE))))</f>
        <v>#N/A</v>
      </c>
      <c r="AM22" s="224" t="e">
        <f>IF(Table4[[#This Row],[ScopeP]]="Unchanged",6.42*Table4[[#This Row],[ISC BaseP]],IF(Table4[[#This Row],[ScopeP]]="Changed",7.52*(Table4[[#This Row],[ISC BaseP]] - 0.029) - 3.25 * POWER(Table4[[#This Row],[ISC BaseP]] - 0.02,15),NA()))</f>
        <v>#N/A</v>
      </c>
      <c r="AN22"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213"/>
    </row>
    <row r="23" spans="1:43" ht="28.5">
      <c r="A23" s="230">
        <v>19</v>
      </c>
      <c r="B23" s="231" t="s">
        <v>311</v>
      </c>
      <c r="C23" s="232" t="str">
        <f>IF(VLOOKUP(Table4[[#This Row],[T ID]],Table5[#All],5,FALSE)="No","Not in scope",VLOOKUP(Table4[[#This Row],[T ID]],Table5[#All],2,FALSE))</f>
        <v>Unavailability of uploading to Blob storage</v>
      </c>
      <c r="D23" s="231" t="s">
        <v>288</v>
      </c>
      <c r="E23" s="232" t="str">
        <f>IF(VLOOKUP(Table4[[#This Row],[V ID]],Vulnerabilities[#All],3,FALSE)="No","Not in scope",VLOOKUP(Table4[[#This Row],[V ID]],Vulnerabilities[#All],2,FALSE))</f>
        <v>Exertion of the confined storage limit</v>
      </c>
      <c r="F23" s="233" t="s">
        <v>22</v>
      </c>
      <c r="G23" s="232" t="str">
        <f>VLOOKUP(Table4[[#This Row],[A ID]],Assets[#All],3,FALSE)</f>
        <v>Cloud interface &amp; Storage</v>
      </c>
      <c r="H23" s="244" t="s">
        <v>315</v>
      </c>
      <c r="I23" s="231"/>
      <c r="J23" s="234" t="s">
        <v>114</v>
      </c>
      <c r="K23" s="234" t="s">
        <v>114</v>
      </c>
      <c r="L23" s="234" t="s">
        <v>119</v>
      </c>
      <c r="M23" s="235" t="s">
        <v>117</v>
      </c>
      <c r="N23" s="222" t="s">
        <v>112</v>
      </c>
      <c r="O23" s="222" t="s">
        <v>112</v>
      </c>
      <c r="P23" s="222" t="s">
        <v>114</v>
      </c>
      <c r="Q23" s="222" t="s">
        <v>115</v>
      </c>
      <c r="R23"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237">
        <f>(1 - ((1 - VLOOKUP(Table4[[#This Row],[Confidentiality]],'Reference - CVSSv3.0'!$B$15:$C$17,2,FALSE)) * (1 - VLOOKUP(Table4[[#This Row],[Integrity]],'Reference - CVSSv3.0'!$B$15:$C$17,2,FALSE)) *  (1 - VLOOKUP(Table4[[#This Row],[Availability]],'Reference - CVSSv3.0'!$B$15:$C$17,2,FALSE))))</f>
        <v>0.56000000000000005</v>
      </c>
      <c r="T23" s="237">
        <f>IF(Table4[[#This Row],[Scope]]="Unchanged",6.42*Table4[[#This Row],[ISC Base]],IF(Table4[[#This Row],[Scope]]="Changed",7.52*(Table4[[#This Row],[ISC Base]] - 0.029) - 3.25 * POWER(Table4[[#This Row],[ISC Base]] - 0.02,15),NA()))</f>
        <v>3.5952000000000002</v>
      </c>
      <c r="U23"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225" t="s">
        <v>112</v>
      </c>
      <c r="W23" s="237">
        <f>VLOOKUP(Table4[[#This Row],[Threat Event Initiation]],NIST_Scale_LOAI[],2,FALSE)</f>
        <v>0.2</v>
      </c>
      <c r="X23"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231"/>
      <c r="AA23" s="231"/>
      <c r="AB23" s="240"/>
      <c r="AC23" s="231"/>
      <c r="AD23" s="231"/>
      <c r="AE23" s="231"/>
      <c r="AF23" s="235"/>
      <c r="AG23" s="235"/>
      <c r="AH23" s="235"/>
      <c r="AI23" s="235"/>
      <c r="AJ23" s="241"/>
      <c r="AK23"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237" t="e">
        <f>(1 - ((1 - VLOOKUP(Table4[[#This Row],[ConfidentialityP]],'Reference - CVSSv3.0'!$B$15:$C$17,2,FALSE)) * (1 - VLOOKUP(Table4[[#This Row],[IntegrityP]],'Reference - CVSSv3.0'!$B$15:$C$17,2,FALSE)) *  (1 - VLOOKUP(Table4[[#This Row],[AvailabilityP]],'Reference - CVSSv3.0'!$B$15:$C$17,2,FALSE))))</f>
        <v>#N/A</v>
      </c>
      <c r="AM23" s="237" t="e">
        <f>IF(Table4[[#This Row],[ScopeP]]="Unchanged",6.42*Table4[[#This Row],[ISC BaseP]],IF(Table4[[#This Row],[ScopeP]]="Changed",7.52*(Table4[[#This Row],[ISC BaseP]] - 0.029) - 3.25 * POWER(Table4[[#This Row],[ISC BaseP]] - 0.02,15),NA()))</f>
        <v>#N/A</v>
      </c>
      <c r="AN23"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231"/>
    </row>
    <row r="24" spans="1:43" ht="28.5">
      <c r="A24" s="230">
        <v>20</v>
      </c>
      <c r="B24" s="231" t="s">
        <v>342</v>
      </c>
      <c r="C24" s="232" t="str">
        <f>IF(VLOOKUP(Table4[[#This Row],[T ID]],Table5[#All],5,FALSE)="No","Not in scope",VLOOKUP(Table4[[#This Row],[T ID]],Table5[#All],2,FALSE))</f>
        <v>Open to download (All stryker users) without restriction</v>
      </c>
      <c r="D24" s="231" t="s">
        <v>341</v>
      </c>
      <c r="E24" s="232" t="str">
        <f>IF(VLOOKUP(Table4[[#This Row],[V ID]],Vulnerabilities[#All],3,FALSE)="No","Not in scope",VLOOKUP(Table4[[#This Row],[V ID]],Vulnerabilities[#All],2,FALSE))</f>
        <v>Reveal/exposure of sensitive information (Stryker IP data)</v>
      </c>
      <c r="F24" s="233" t="s">
        <v>338</v>
      </c>
      <c r="G24" s="232" t="str">
        <f>VLOOKUP(Table4[[#This Row],[A ID]],Assets[#All],3,FALSE)</f>
        <v>Stryker App store</v>
      </c>
      <c r="H24" s="231" t="s">
        <v>347</v>
      </c>
      <c r="I24" s="231"/>
      <c r="J24" s="234" t="s">
        <v>119</v>
      </c>
      <c r="K24" s="234" t="s">
        <v>114</v>
      </c>
      <c r="L24" s="234" t="s">
        <v>114</v>
      </c>
      <c r="M24" s="235" t="s">
        <v>117</v>
      </c>
      <c r="N24" s="235" t="s">
        <v>112</v>
      </c>
      <c r="O24" s="235" t="s">
        <v>112</v>
      </c>
      <c r="P24" s="235" t="s">
        <v>114</v>
      </c>
      <c r="Q24" s="235" t="s">
        <v>115</v>
      </c>
      <c r="R24"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237">
        <f>(1 - ((1 - VLOOKUP(Table4[[#This Row],[Confidentiality]],'Reference - CVSSv3.0'!$B$15:$C$17,2,FALSE)) * (1 - VLOOKUP(Table4[[#This Row],[Integrity]],'Reference - CVSSv3.0'!$B$15:$C$17,2,FALSE)) *  (1 - VLOOKUP(Table4[[#This Row],[Availability]],'Reference - CVSSv3.0'!$B$15:$C$17,2,FALSE))))</f>
        <v>0.56000000000000005</v>
      </c>
      <c r="T24" s="237">
        <f>IF(Table4[[#This Row],[Scope]]="Unchanged",6.42*Table4[[#This Row],[ISC Base]],IF(Table4[[#This Row],[Scope]]="Changed",7.52*(Table4[[#This Row],[ISC Base]] - 0.029) - 3.25 * POWER(Table4[[#This Row],[ISC Base]] - 0.02,15),NA()))</f>
        <v>3.5952000000000002</v>
      </c>
      <c r="U24"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238" t="s">
        <v>112</v>
      </c>
      <c r="W24" s="237">
        <f>VLOOKUP(Table4[[#This Row],[Threat Event Initiation]],NIST_Scale_LOAI[],2,FALSE)</f>
        <v>0.2</v>
      </c>
      <c r="X24"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231"/>
      <c r="AA24" s="231"/>
      <c r="AB24" s="240"/>
      <c r="AC24" s="231"/>
      <c r="AD24" s="231"/>
      <c r="AE24" s="231"/>
      <c r="AF24" s="235"/>
      <c r="AG24" s="235"/>
      <c r="AH24" s="235"/>
      <c r="AI24" s="235"/>
      <c r="AJ24" s="241"/>
      <c r="AK24"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237" t="e">
        <f>(1 - ((1 - VLOOKUP(Table4[[#This Row],[ConfidentialityP]],'Reference - CVSSv3.0'!$B$15:$C$17,2,FALSE)) * (1 - VLOOKUP(Table4[[#This Row],[IntegrityP]],'Reference - CVSSv3.0'!$B$15:$C$17,2,FALSE)) *  (1 - VLOOKUP(Table4[[#This Row],[AvailabilityP]],'Reference - CVSSv3.0'!$B$15:$C$17,2,FALSE))))</f>
        <v>#N/A</v>
      </c>
      <c r="AM24" s="237" t="e">
        <f>IF(Table4[[#This Row],[ScopeP]]="Unchanged",6.42*Table4[[#This Row],[ISC BaseP]],IF(Table4[[#This Row],[ScopeP]]="Changed",7.52*(Table4[[#This Row],[ISC BaseP]] - 0.029) - 3.25 * POWER(Table4[[#This Row],[ISC BaseP]] - 0.02,15),NA()))</f>
        <v>#N/A</v>
      </c>
      <c r="AN24"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231"/>
    </row>
    <row r="29" spans="1:43">
      <c r="Z29" s="181"/>
    </row>
    <row r="30" spans="1:43">
      <c r="Z30" s="181"/>
    </row>
    <row r="31" spans="1:43">
      <c r="Z31" s="182"/>
    </row>
  </sheetData>
  <mergeCells count="4">
    <mergeCell ref="AC3:AQ3"/>
    <mergeCell ref="Z3:AB3"/>
    <mergeCell ref="F3:I3"/>
    <mergeCell ref="J3:Y3"/>
  </mergeCells>
  <phoneticPr fontId="44" type="noConversion"/>
  <conditionalFormatting sqref="Y5:Y24 AP5:AP24">
    <cfRule type="cellIs" dxfId="152" priority="26" operator="equal">
      <formula>"Critical"</formula>
    </cfRule>
    <cfRule type="cellIs" dxfId="151" priority="27" operator="equal">
      <formula>"HIGH"</formula>
    </cfRule>
    <cfRule type="cellIs" dxfId="150" priority="28" operator="equal">
      <formula>"Medium"</formula>
    </cfRule>
    <cfRule type="cellIs" dxfId="149" priority="29" operator="equal">
      <formula>"None"</formula>
    </cfRule>
    <cfRule type="cellIs" dxfId="148"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144</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64</v>
      </c>
      <c r="B3" s="62"/>
      <c r="C3" s="62"/>
      <c r="D3" s="62"/>
      <c r="E3" s="62"/>
      <c r="F3" s="62"/>
      <c r="G3" s="62"/>
      <c r="H3" s="62"/>
      <c r="I3" s="62"/>
      <c r="J3" s="62"/>
      <c r="K3" s="62"/>
      <c r="L3" s="62"/>
      <c r="M3" s="62"/>
      <c r="N3"/>
    </row>
    <row r="4" spans="1:14" s="42" customFormat="1" ht="28.5">
      <c r="A4" s="153" t="s">
        <v>69</v>
      </c>
      <c r="B4" s="154" t="s">
        <v>70</v>
      </c>
      <c r="C4" s="155" t="s">
        <v>71</v>
      </c>
      <c r="D4" s="156" t="s">
        <v>72</v>
      </c>
      <c r="E4" s="157" t="s">
        <v>73</v>
      </c>
      <c r="F4" s="158" t="s">
        <v>74</v>
      </c>
      <c r="G4" s="159" t="s">
        <v>145</v>
      </c>
      <c r="H4" s="159" t="s">
        <v>75</v>
      </c>
      <c r="I4" s="160" t="s">
        <v>76</v>
      </c>
      <c r="J4" s="161" t="s">
        <v>146</v>
      </c>
      <c r="K4" s="162" t="s">
        <v>93</v>
      </c>
      <c r="L4" s="163" t="s">
        <v>147</v>
      </c>
      <c r="M4" s="164" t="s">
        <v>110</v>
      </c>
      <c r="N4"/>
    </row>
    <row r="5" spans="1:14" s="42" customFormat="1" ht="99.75">
      <c r="A5" s="58">
        <f>Table4[[#This Row],[
ID '#]]</f>
        <v>1</v>
      </c>
      <c r="B5" s="46" t="str">
        <f>IF(Table4[[#This Row],[A ID]]&gt;0,Table4[[#This Row],[T ID]],"")</f>
        <v>T01</v>
      </c>
      <c r="C5" s="178" t="str">
        <f>Table4[[#This Row],[Threat Event(s)]]</f>
        <v>Not in scope</v>
      </c>
      <c r="D5" s="46" t="str">
        <f>IF(Table4[[#This Row],[V ID]]&gt;0,Table4[[#This Row],[V ID]],"")</f>
        <v>V15</v>
      </c>
      <c r="E5" s="178" t="str">
        <f>Table4[[#This Row],[Vulnerabilities]]</f>
        <v xml:space="preserve">3rd Party Component Dependency &amp; Vulnerabilities in Application  </v>
      </c>
      <c r="F5" s="48" t="str">
        <f>IF(Table4[[#This Row],[A ID]]&gt;0,Table4[[#This Row],[A ID]],"")</f>
        <v>A05</v>
      </c>
      <c r="G5" s="178" t="str">
        <f>Table4[[#This Row],[Asset]]</f>
        <v>Knee balancer supporting software components (binaries, frameworks, 3rd party components, etc..)</v>
      </c>
      <c r="H5" s="178"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8" t="str">
        <f>IF(Table4[[#This Row],[Security Risk Control Measures]]&gt;0,Table4[[#This Row],[Security Risk Control Measures]],"")</f>
        <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8" t="str">
        <f>Table4[[#This Row],[Threat Event(s)]]</f>
        <v>Not in scope</v>
      </c>
      <c r="D6" s="48" t="str">
        <f>IF(Table4[[#This Row],[V ID]]&gt;0,Table4[[#This Row],[V ID]],"")</f>
        <v>V31</v>
      </c>
      <c r="E6" s="178" t="str">
        <f>Table4[[#This Row],[Vulnerabilities]]</f>
        <v>Not in scope</v>
      </c>
      <c r="F6" s="48" t="str">
        <f>IF(Table4[[#This Row],[A ID]]&gt;0,Table4[[#This Row],[A ID]],"")</f>
        <v>A01</v>
      </c>
      <c r="G6" s="178" t="str">
        <f>Table4[[#This Row],[Asset]]</f>
        <v>Mobile Device (iPad, iPhone V8-13)</v>
      </c>
      <c r="H6" s="178"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8" t="str">
        <f>IF(Table4[[#This Row],[Security Risk Control Measures]]&gt;0,Table4[[#This Row],[Security Risk Control Measures]],"")</f>
        <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8" t="str">
        <f>Table4[[#This Row],[Threat Event(s)]]</f>
        <v>Not in scope</v>
      </c>
      <c r="D7" s="48" t="str">
        <f>IF(Table4[[#This Row],[V ID]]&gt;0,Table4[[#This Row],[V ID]],"")</f>
        <v>V17</v>
      </c>
      <c r="E7" s="178" t="str">
        <f>Table4[[#This Row],[Vulnerabilities]]</f>
        <v>No Static Analysis for developed code &amp; SCA for SOUP in Application</v>
      </c>
      <c r="F7" s="48" t="str">
        <f>IF(Table4[[#This Row],[A ID]]&gt;0,Table4[[#This Row],[A ID]],"")</f>
        <v>A03</v>
      </c>
      <c r="G7" s="178" t="str">
        <f>Table4[[#This Row],[Asset]]</f>
        <v>Knee balancer application</v>
      </c>
      <c r="H7" s="178"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8" t="str">
        <f>Table4[[#This Row],[Threat Event(s)]]</f>
        <v>Unauthorized modifications  to Knee Balancer Software</v>
      </c>
      <c r="D8" s="48" t="str">
        <f>IF(Table4[[#This Row],[V ID]]&gt;0,Table4[[#This Row],[V ID]],"")</f>
        <v>V12</v>
      </c>
      <c r="E8" s="178" t="str">
        <f>Table4[[#This Row],[Vulnerabilities]]</f>
        <v>Unsafely compiled Application Binaries in Application</v>
      </c>
      <c r="F8" s="48" t="str">
        <f>IF(Table4[[#This Row],[A ID]]&gt;0,Table4[[#This Row],[A ID]],"")</f>
        <v>A05</v>
      </c>
      <c r="G8" s="178" t="str">
        <f>Table4[[#This Row],[Asset]]</f>
        <v>Knee balancer supporting software components (binaries, frameworks, 3rd party components, etc..)</v>
      </c>
      <c r="H8"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8" t="str">
        <f>Table4[[#This Row],[Threat Event(s)]]</f>
        <v>Unauthorized modifications  to Knee Balancer Software</v>
      </c>
      <c r="D9" s="48" t="str">
        <f>IF(Table4[[#This Row],[V ID]]&gt;0,Table4[[#This Row],[V ID]],"")</f>
        <v>V15</v>
      </c>
      <c r="E9" s="178" t="str">
        <f>Table4[[#This Row],[Vulnerabilities]]</f>
        <v xml:space="preserve">3rd Party Component Dependency &amp; Vulnerabilities in Application  </v>
      </c>
      <c r="F9" s="48" t="str">
        <f>IF(Table4[[#This Row],[A ID]]&gt;0,Table4[[#This Row],[A ID]],"")</f>
        <v>A05</v>
      </c>
      <c r="G9" s="178" t="str">
        <f>Table4[[#This Row],[Asset]]</f>
        <v>Knee balancer supporting software components (binaries, frameworks, 3rd party components, etc..)</v>
      </c>
      <c r="H9"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c>
      <c r="L9" s="142"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25</v>
      </c>
      <c r="C12" s="52"/>
    </row>
    <row r="13" spans="1:14" s="42" customFormat="1" ht="32.25" customHeight="1">
      <c r="B13" s="248" t="s">
        <v>26</v>
      </c>
      <c r="C13" s="248"/>
      <c r="D13" s="248"/>
      <c r="E13" s="248"/>
      <c r="F13" s="248"/>
      <c r="G13" s="248"/>
      <c r="H13" s="248"/>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80"/>
    </row>
  </sheetData>
  <mergeCells count="1">
    <mergeCell ref="B13:H13"/>
  </mergeCells>
  <conditionalFormatting sqref="L6:L9">
    <cfRule type="cellIs" dxfId="60" priority="1" operator="equal">
      <formula>"Critical"</formula>
    </cfRule>
    <cfRule type="cellIs" dxfId="59" priority="2" operator="equal">
      <formula>"HIGH"</formula>
    </cfRule>
    <cfRule type="cellIs" dxfId="58" priority="3" operator="equal">
      <formula>"Medium"</formula>
    </cfRule>
    <cfRule type="cellIs" dxfId="57" priority="4" operator="equal">
      <formula>"None"</formula>
    </cfRule>
    <cfRule type="cellIs" dxfId="56" priority="5" operator="equal">
      <formula>"Low"</formula>
    </cfRule>
  </conditionalFormatting>
  <conditionalFormatting sqref="J5:J9">
    <cfRule type="cellIs" dxfId="55" priority="11" operator="equal">
      <formula>"Critical"</formula>
    </cfRule>
    <cfRule type="cellIs" dxfId="54" priority="12" operator="equal">
      <formula>"HIGH"</formula>
    </cfRule>
    <cfRule type="cellIs" dxfId="53" priority="13" operator="equal">
      <formula>"Medium"</formula>
    </cfRule>
    <cfRule type="cellIs" dxfId="52" priority="14" operator="equal">
      <formula>"None"</formula>
    </cfRule>
    <cfRule type="cellIs" dxfId="51" priority="15" operator="equal">
      <formula>"Low"</formula>
    </cfRule>
  </conditionalFormatting>
  <conditionalFormatting sqref="L5">
    <cfRule type="cellIs" dxfId="50" priority="6" operator="equal">
      <formula>"Critical"</formula>
    </cfRule>
    <cfRule type="cellIs" dxfId="49" priority="7" operator="equal">
      <formula>"HIGH"</formula>
    </cfRule>
    <cfRule type="cellIs" dxfId="48" priority="8" operator="equal">
      <formula>"Medium"</formula>
    </cfRule>
    <cfRule type="cellIs" dxfId="47" priority="9" operator="equal">
      <formula>"None"</formula>
    </cfRule>
    <cfRule type="cellIs" dxfId="46"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80" t="s">
        <v>148</v>
      </c>
    </row>
    <row r="2" spans="2:18" s="62" customFormat="1" thickBot="1"/>
    <row r="3" spans="2:18" s="62" customFormat="1" ht="18.75" thickBot="1">
      <c r="B3" s="259" t="s">
        <v>149</v>
      </c>
      <c r="C3" s="260"/>
      <c r="D3" s="260"/>
      <c r="E3" s="260"/>
      <c r="F3" s="260"/>
      <c r="G3" s="260"/>
      <c r="H3" s="260"/>
      <c r="I3" s="260"/>
      <c r="J3" s="260"/>
      <c r="K3" s="260"/>
      <c r="L3" s="260"/>
      <c r="M3" s="260"/>
      <c r="N3" s="261"/>
      <c r="P3" s="259" t="s">
        <v>150</v>
      </c>
      <c r="Q3" s="260"/>
      <c r="R3" s="261"/>
    </row>
    <row r="4" spans="2:18" s="62" customFormat="1" ht="16.5" thickBot="1">
      <c r="B4" s="266" t="s">
        <v>80</v>
      </c>
      <c r="C4" s="267"/>
      <c r="D4" s="268"/>
      <c r="E4" s="266" t="s">
        <v>81</v>
      </c>
      <c r="F4" s="267"/>
      <c r="G4" s="268"/>
      <c r="H4" s="266" t="s">
        <v>151</v>
      </c>
      <c r="I4" s="267"/>
      <c r="J4" s="267"/>
      <c r="K4" s="268"/>
      <c r="L4" s="269" t="s">
        <v>83</v>
      </c>
      <c r="M4" s="270"/>
      <c r="N4" s="271"/>
      <c r="P4" s="81"/>
      <c r="Q4" s="82" t="s">
        <v>152</v>
      </c>
      <c r="R4" s="83" t="s">
        <v>153</v>
      </c>
    </row>
    <row r="5" spans="2:18" s="62" customFormat="1" ht="16.5" thickBot="1">
      <c r="B5" s="84" t="s">
        <v>154</v>
      </c>
      <c r="C5" s="84" t="s">
        <v>155</v>
      </c>
      <c r="D5" s="84" t="s">
        <v>156</v>
      </c>
      <c r="E5" s="84" t="s">
        <v>157</v>
      </c>
      <c r="F5" s="84" t="s">
        <v>155</v>
      </c>
      <c r="G5" s="84" t="s">
        <v>156</v>
      </c>
      <c r="H5" s="84" t="s">
        <v>154</v>
      </c>
      <c r="I5" s="273" t="s">
        <v>155</v>
      </c>
      <c r="J5" s="274"/>
      <c r="K5" s="84" t="s">
        <v>156</v>
      </c>
      <c r="L5" s="84" t="s">
        <v>154</v>
      </c>
      <c r="M5" s="84" t="s">
        <v>155</v>
      </c>
      <c r="N5" s="84" t="s">
        <v>156</v>
      </c>
      <c r="P5" s="85"/>
      <c r="Q5" s="86" t="s">
        <v>158</v>
      </c>
      <c r="R5" s="87">
        <v>0.04</v>
      </c>
    </row>
    <row r="6" spans="2:18" s="62" customFormat="1" ht="15.75">
      <c r="B6" s="88" t="s">
        <v>113</v>
      </c>
      <c r="C6" s="89">
        <v>0.85</v>
      </c>
      <c r="D6" s="90" t="s">
        <v>159</v>
      </c>
      <c r="E6" s="88" t="s">
        <v>112</v>
      </c>
      <c r="F6" s="89">
        <v>0.77</v>
      </c>
      <c r="G6" s="90" t="s">
        <v>160</v>
      </c>
      <c r="H6" s="88" t="s">
        <v>114</v>
      </c>
      <c r="I6" s="91">
        <v>0.85</v>
      </c>
      <c r="J6" s="92">
        <v>0.85</v>
      </c>
      <c r="K6" s="90" t="s">
        <v>159</v>
      </c>
      <c r="L6" s="88" t="s">
        <v>114</v>
      </c>
      <c r="M6" s="93">
        <v>0.85</v>
      </c>
      <c r="N6" s="94" t="s">
        <v>159</v>
      </c>
      <c r="P6" s="85"/>
      <c r="Q6" s="95" t="s">
        <v>112</v>
      </c>
      <c r="R6" s="96">
        <v>0.2</v>
      </c>
    </row>
    <row r="7" spans="2:18" s="62" customFormat="1" ht="15.75">
      <c r="B7" s="88" t="s">
        <v>161</v>
      </c>
      <c r="C7" s="97">
        <v>0.62</v>
      </c>
      <c r="D7" s="90" t="s">
        <v>162</v>
      </c>
      <c r="E7" s="88" t="s">
        <v>119</v>
      </c>
      <c r="F7" s="97">
        <v>0.44</v>
      </c>
      <c r="G7" s="90" t="s">
        <v>163</v>
      </c>
      <c r="H7" s="88" t="s">
        <v>112</v>
      </c>
      <c r="I7" s="98">
        <v>0.62</v>
      </c>
      <c r="J7" s="92">
        <v>0.68</v>
      </c>
      <c r="K7" s="90" t="s">
        <v>160</v>
      </c>
      <c r="L7" s="88" t="s">
        <v>120</v>
      </c>
      <c r="M7" s="99">
        <v>0.62</v>
      </c>
      <c r="N7" s="94" t="s">
        <v>164</v>
      </c>
      <c r="P7" s="85"/>
      <c r="Q7" s="100" t="s">
        <v>125</v>
      </c>
      <c r="R7" s="96">
        <v>0.5</v>
      </c>
    </row>
    <row r="8" spans="2:18" s="62" customFormat="1" ht="15.75">
      <c r="B8" s="88" t="s">
        <v>117</v>
      </c>
      <c r="C8" s="97">
        <v>0.55000000000000004</v>
      </c>
      <c r="D8" s="90" t="s">
        <v>160</v>
      </c>
      <c r="E8" s="88"/>
      <c r="F8" s="97"/>
      <c r="G8" s="90"/>
      <c r="H8" s="88" t="s">
        <v>119</v>
      </c>
      <c r="I8" s="98">
        <v>0.27</v>
      </c>
      <c r="J8" s="92">
        <v>0.5</v>
      </c>
      <c r="K8" s="90" t="s">
        <v>163</v>
      </c>
      <c r="L8" s="88"/>
      <c r="M8" s="92"/>
      <c r="N8" s="94"/>
      <c r="P8" s="85"/>
      <c r="Q8" s="101" t="s">
        <v>119</v>
      </c>
      <c r="R8" s="96">
        <v>0.8</v>
      </c>
    </row>
    <row r="9" spans="2:18" s="62" customFormat="1" ht="15.75">
      <c r="B9" s="88" t="s">
        <v>121</v>
      </c>
      <c r="C9" s="97">
        <v>0.2</v>
      </c>
      <c r="D9" s="94" t="s">
        <v>165</v>
      </c>
      <c r="E9" s="117"/>
      <c r="G9" s="166"/>
      <c r="H9" s="88"/>
      <c r="I9" s="98"/>
      <c r="J9" s="92"/>
      <c r="K9" s="94"/>
      <c r="L9" s="88"/>
      <c r="M9" s="92"/>
      <c r="N9" s="94"/>
      <c r="P9" s="85"/>
      <c r="Q9" s="111" t="s">
        <v>166</v>
      </c>
      <c r="R9" s="96">
        <v>1</v>
      </c>
    </row>
    <row r="10" spans="2:18" s="62" customFormat="1" ht="16.5" thickBot="1">
      <c r="B10" s="102"/>
      <c r="C10" s="103"/>
      <c r="D10" s="104"/>
      <c r="E10" s="105"/>
      <c r="F10" s="106"/>
      <c r="G10" s="107"/>
      <c r="H10" s="102"/>
      <c r="I10" s="108"/>
      <c r="J10" s="109"/>
      <c r="K10" s="104"/>
      <c r="L10" s="102"/>
      <c r="M10" s="109"/>
      <c r="N10" s="104"/>
      <c r="P10" s="110"/>
      <c r="R10" s="96"/>
    </row>
    <row r="11" spans="2:18" s="62" customFormat="1" thickBot="1"/>
    <row r="12" spans="2:18" s="62" customFormat="1" ht="18.75" thickBot="1">
      <c r="B12" s="259" t="s">
        <v>167</v>
      </c>
      <c r="C12" s="260"/>
      <c r="D12" s="260"/>
      <c r="E12" s="260"/>
      <c r="F12" s="260"/>
      <c r="G12" s="260"/>
      <c r="H12" s="260"/>
      <c r="I12" s="260"/>
      <c r="J12" s="260"/>
      <c r="K12" s="260"/>
      <c r="L12" s="260"/>
      <c r="M12" s="260"/>
      <c r="N12" s="261"/>
      <c r="P12" s="145" t="s">
        <v>168</v>
      </c>
      <c r="Q12" s="113" t="s">
        <v>33</v>
      </c>
    </row>
    <row r="13" spans="2:18" s="62" customFormat="1" ht="16.5" thickBot="1">
      <c r="B13" s="262" t="s">
        <v>169</v>
      </c>
      <c r="C13" s="263"/>
      <c r="D13" s="263"/>
      <c r="E13" s="263"/>
      <c r="F13" s="263"/>
      <c r="G13" s="264"/>
      <c r="H13" s="263"/>
      <c r="I13" s="263"/>
      <c r="J13" s="263"/>
      <c r="K13" s="263"/>
      <c r="L13" s="263"/>
      <c r="M13" s="263"/>
      <c r="N13" s="265"/>
      <c r="P13" s="88"/>
      <c r="Q13" s="92" t="s">
        <v>54</v>
      </c>
    </row>
    <row r="14" spans="2:18" s="62" customFormat="1" thickBot="1">
      <c r="B14" s="84" t="s">
        <v>154</v>
      </c>
      <c r="C14" s="84" t="s">
        <v>155</v>
      </c>
      <c r="D14" s="84" t="s">
        <v>156</v>
      </c>
      <c r="E14" s="112"/>
      <c r="F14" s="112"/>
      <c r="G14" s="112"/>
      <c r="H14" s="112"/>
      <c r="I14" s="112"/>
      <c r="J14" s="112"/>
      <c r="K14" s="112"/>
      <c r="L14" s="112"/>
      <c r="M14" s="112"/>
      <c r="N14" s="113"/>
      <c r="P14" s="102"/>
      <c r="Q14" s="109"/>
    </row>
    <row r="15" spans="2:18" s="62" customFormat="1" ht="17.25">
      <c r="B15" s="114" t="s">
        <v>114</v>
      </c>
      <c r="C15" s="89">
        <v>0</v>
      </c>
      <c r="D15" s="115" t="s">
        <v>159</v>
      </c>
      <c r="E15" s="116" t="s">
        <v>170</v>
      </c>
      <c r="N15" s="92"/>
    </row>
    <row r="16" spans="2:18" s="62" customFormat="1" ht="14.25">
      <c r="B16" s="117" t="s">
        <v>112</v>
      </c>
      <c r="C16" s="97">
        <v>0.22</v>
      </c>
      <c r="D16" s="118" t="s">
        <v>160</v>
      </c>
      <c r="N16" s="92"/>
    </row>
    <row r="17" spans="2:17" s="62" customFormat="1" ht="14.25">
      <c r="B17" s="117" t="s">
        <v>119</v>
      </c>
      <c r="C17" s="97">
        <v>0.56000000000000005</v>
      </c>
      <c r="D17" s="118" t="s">
        <v>163</v>
      </c>
      <c r="N17" s="92"/>
    </row>
    <row r="18" spans="2:17" s="62" customFormat="1" thickBot="1">
      <c r="B18" s="105"/>
      <c r="C18" s="103"/>
      <c r="D18" s="119"/>
      <c r="E18" s="106"/>
      <c r="F18" s="106"/>
      <c r="G18" s="106"/>
      <c r="H18" s="106"/>
      <c r="I18" s="106"/>
      <c r="J18" s="106"/>
      <c r="K18" s="106"/>
      <c r="L18" s="106"/>
      <c r="M18" s="106"/>
      <c r="N18" s="109"/>
    </row>
    <row r="19" spans="2:17" s="62" customFormat="1" thickBot="1"/>
    <row r="20" spans="2:17" s="62" customFormat="1" ht="18.75" thickBot="1">
      <c r="B20" s="259" t="s">
        <v>84</v>
      </c>
      <c r="C20" s="260"/>
      <c r="D20" s="260"/>
      <c r="E20" s="260"/>
      <c r="F20" s="260"/>
      <c r="G20" s="260"/>
      <c r="H20" s="260"/>
      <c r="I20" s="260"/>
      <c r="J20" s="260"/>
      <c r="K20" s="260"/>
      <c r="L20" s="260"/>
      <c r="M20" s="260"/>
      <c r="N20" s="261"/>
    </row>
    <row r="21" spans="2:17" s="62" customFormat="1" ht="42.6" customHeight="1" thickBot="1">
      <c r="B21" s="120" t="s">
        <v>115</v>
      </c>
      <c r="C21" s="275" t="s">
        <v>171</v>
      </c>
      <c r="D21" s="276"/>
      <c r="E21" s="276"/>
      <c r="F21" s="276"/>
      <c r="G21" s="276"/>
      <c r="H21" s="276"/>
      <c r="I21" s="276"/>
      <c r="J21" s="276"/>
      <c r="K21" s="276"/>
      <c r="L21" s="276"/>
      <c r="M21" s="277"/>
      <c r="N21" s="121" t="s">
        <v>172</v>
      </c>
    </row>
    <row r="22" spans="2:17" s="62" customFormat="1" ht="43.9" customHeight="1" thickBot="1">
      <c r="B22" s="122" t="s">
        <v>116</v>
      </c>
      <c r="C22" s="278" t="s">
        <v>173</v>
      </c>
      <c r="D22" s="276"/>
      <c r="E22" s="276"/>
      <c r="F22" s="276"/>
      <c r="G22" s="276"/>
      <c r="H22" s="276"/>
      <c r="I22" s="276"/>
      <c r="J22" s="276"/>
      <c r="K22" s="276"/>
      <c r="L22" s="276"/>
      <c r="M22" s="277"/>
      <c r="N22" s="123" t="s">
        <v>174</v>
      </c>
      <c r="O22" s="124"/>
      <c r="P22" s="124"/>
      <c r="Q22" s="124"/>
    </row>
    <row r="23" spans="2:17" s="62" customFormat="1" ht="16.5" thickBot="1">
      <c r="B23" s="122"/>
      <c r="C23" s="278"/>
      <c r="D23" s="276"/>
      <c r="E23" s="276"/>
      <c r="F23" s="276"/>
      <c r="G23" s="276"/>
      <c r="H23" s="276"/>
      <c r="I23" s="276"/>
      <c r="J23" s="276"/>
      <c r="K23" s="276"/>
      <c r="L23" s="276"/>
      <c r="M23" s="277"/>
      <c r="N23" s="123"/>
    </row>
    <row r="24" spans="2:17" s="62" customFormat="1" ht="14.25"/>
    <row r="25" spans="2:17" s="62" customFormat="1" ht="14.25">
      <c r="B25" s="62" t="s">
        <v>175</v>
      </c>
    </row>
    <row r="26" spans="2:17" s="62" customFormat="1" ht="262.5" customHeight="1">
      <c r="B26" s="42" t="s">
        <v>176</v>
      </c>
      <c r="C26" s="272" t="s">
        <v>177</v>
      </c>
      <c r="D26" s="272"/>
      <c r="E26" s="272"/>
      <c r="F26" s="272"/>
      <c r="G26" s="272"/>
      <c r="H26" s="272"/>
      <c r="I26" s="272"/>
      <c r="J26" s="272"/>
    </row>
    <row r="29" spans="2:17">
      <c r="B29" s="26" t="s">
        <v>25</v>
      </c>
    </row>
    <row r="30" spans="2:17" ht="48" customHeight="1">
      <c r="C30" s="248" t="s">
        <v>26</v>
      </c>
      <c r="D30" s="248"/>
      <c r="E30" s="248"/>
      <c r="F30" s="248"/>
      <c r="G30" s="248"/>
      <c r="H30" s="248"/>
      <c r="I30" s="248"/>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80" t="s">
        <v>178</v>
      </c>
      <c r="C1" s="52"/>
    </row>
    <row r="2" spans="1:8" s="42" customFormat="1" thickBot="1">
      <c r="C2" s="52"/>
    </row>
    <row r="3" spans="1:8" s="42" customFormat="1" thickBot="1">
      <c r="A3" s="279" t="s">
        <v>179</v>
      </c>
      <c r="B3" s="280"/>
      <c r="C3" s="280"/>
      <c r="E3" s="281" t="s">
        <v>180</v>
      </c>
      <c r="F3" s="282"/>
      <c r="G3" s="282"/>
    </row>
    <row r="4" spans="1:8" s="42" customFormat="1" ht="14.25">
      <c r="A4" s="125" t="s">
        <v>181</v>
      </c>
      <c r="B4" s="126" t="s">
        <v>132</v>
      </c>
      <c r="C4" s="127" t="s">
        <v>182</v>
      </c>
      <c r="E4" s="128" t="s">
        <v>181</v>
      </c>
      <c r="F4" s="129" t="s">
        <v>183</v>
      </c>
      <c r="G4" s="130" t="s">
        <v>182</v>
      </c>
    </row>
    <row r="5" spans="1:8" s="42" customFormat="1" ht="57">
      <c r="A5" s="131" t="s">
        <v>184</v>
      </c>
      <c r="B5" s="136" t="s">
        <v>185</v>
      </c>
      <c r="C5" s="132" t="s">
        <v>186</v>
      </c>
      <c r="E5" s="131" t="s">
        <v>187</v>
      </c>
      <c r="F5" s="133" t="s">
        <v>188</v>
      </c>
      <c r="G5" s="134" t="s">
        <v>186</v>
      </c>
    </row>
    <row r="6" spans="1:8" s="42" customFormat="1" ht="28.5">
      <c r="A6" s="38" t="s">
        <v>189</v>
      </c>
      <c r="B6" s="136" t="s">
        <v>190</v>
      </c>
      <c r="C6" s="132" t="s">
        <v>186</v>
      </c>
      <c r="E6" s="38" t="s">
        <v>191</v>
      </c>
      <c r="F6" s="133" t="s">
        <v>192</v>
      </c>
      <c r="G6" s="135" t="s">
        <v>186</v>
      </c>
    </row>
    <row r="7" spans="1:8" s="42" customFormat="1" ht="42.75">
      <c r="A7" s="38" t="s">
        <v>193</v>
      </c>
      <c r="B7" s="136" t="s">
        <v>194</v>
      </c>
      <c r="C7" s="132" t="s">
        <v>186</v>
      </c>
      <c r="E7" s="38" t="s">
        <v>195</v>
      </c>
      <c r="F7" s="133" t="s">
        <v>196</v>
      </c>
      <c r="G7" s="135" t="s">
        <v>186</v>
      </c>
    </row>
    <row r="8" spans="1:8" s="42" customFormat="1" ht="28.5">
      <c r="A8" s="38" t="s">
        <v>197</v>
      </c>
      <c r="B8" s="136" t="s">
        <v>198</v>
      </c>
      <c r="C8" s="132" t="s">
        <v>159</v>
      </c>
      <c r="E8" s="38" t="s">
        <v>199</v>
      </c>
      <c r="F8" s="133" t="s">
        <v>200</v>
      </c>
      <c r="G8" s="135" t="s">
        <v>186</v>
      </c>
    </row>
    <row r="9" spans="1:8" s="42" customFormat="1" ht="42.75">
      <c r="A9" s="38" t="s">
        <v>201</v>
      </c>
      <c r="B9" s="136" t="s">
        <v>202</v>
      </c>
      <c r="C9" s="132" t="s">
        <v>159</v>
      </c>
      <c r="E9" s="38" t="s">
        <v>203</v>
      </c>
      <c r="F9" s="133" t="s">
        <v>204</v>
      </c>
      <c r="G9" s="135" t="s">
        <v>186</v>
      </c>
    </row>
    <row r="10" spans="1:8" s="42" customFormat="1" ht="57">
      <c r="A10" s="137" t="s">
        <v>205</v>
      </c>
      <c r="B10" s="138" t="s">
        <v>206</v>
      </c>
      <c r="C10" s="139" t="s">
        <v>159</v>
      </c>
      <c r="E10" s="137" t="s">
        <v>207</v>
      </c>
      <c r="F10" s="140" t="s">
        <v>208</v>
      </c>
      <c r="G10" s="141" t="s">
        <v>159</v>
      </c>
    </row>
    <row r="11" spans="1:8" s="42" customFormat="1" ht="14.25">
      <c r="C11" s="52"/>
    </row>
    <row r="12" spans="1:8" s="42" customFormat="1" ht="14.25">
      <c r="C12" s="52"/>
    </row>
    <row r="13" spans="1:8" s="42" customFormat="1" ht="14.25">
      <c r="C13" s="52"/>
    </row>
    <row r="14" spans="1:8" s="42" customFormat="1" ht="14.25">
      <c r="A14" s="26" t="s">
        <v>25</v>
      </c>
      <c r="C14" s="52"/>
    </row>
    <row r="15" spans="1:8" s="42" customFormat="1" ht="32.25" customHeight="1">
      <c r="B15" s="248" t="s">
        <v>26</v>
      </c>
      <c r="C15" s="248"/>
      <c r="D15" s="248"/>
      <c r="E15" s="248"/>
      <c r="F15" s="248"/>
      <c r="G15" s="248"/>
      <c r="H15" s="248"/>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83" t="s">
        <v>209</v>
      </c>
      <c r="B1" s="283"/>
      <c r="C1" s="283"/>
      <c r="D1" s="283"/>
      <c r="E1" s="283"/>
      <c r="F1" s="283"/>
      <c r="G1" s="283"/>
      <c r="H1" s="283"/>
    </row>
    <row r="2" spans="1:8" ht="60">
      <c r="A2" s="11" t="s">
        <v>129</v>
      </c>
      <c r="B2" s="11" t="s">
        <v>130</v>
      </c>
      <c r="C2" s="11" t="s">
        <v>131</v>
      </c>
      <c r="D2" s="12" t="s">
        <v>132</v>
      </c>
      <c r="E2" s="20" t="s">
        <v>210</v>
      </c>
      <c r="F2" s="13" t="s">
        <v>211</v>
      </c>
      <c r="G2" s="13" t="s">
        <v>212</v>
      </c>
      <c r="H2" s="13" t="s">
        <v>213</v>
      </c>
    </row>
    <row r="3" spans="1:8" s="18" customFormat="1" ht="48">
      <c r="A3" s="14" t="s">
        <v>214</v>
      </c>
      <c r="B3" s="15" t="s">
        <v>139</v>
      </c>
      <c r="C3" s="15" t="s">
        <v>140</v>
      </c>
      <c r="D3" s="16" t="s">
        <v>184</v>
      </c>
      <c r="E3" s="21" t="s">
        <v>215</v>
      </c>
      <c r="F3" s="17" t="s">
        <v>158</v>
      </c>
      <c r="G3" s="17" t="s">
        <v>158</v>
      </c>
      <c r="H3" s="19" t="s">
        <v>158</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216</v>
      </c>
      <c r="B2" s="5" t="s">
        <v>217</v>
      </c>
    </row>
    <row r="3" spans="1:2" ht="19.5" thickBot="1">
      <c r="A3" s="6"/>
      <c r="B3" s="7"/>
    </row>
    <row r="4" spans="1:2">
      <c r="A4" s="284"/>
      <c r="B4" s="8"/>
    </row>
    <row r="5" spans="1:2">
      <c r="A5" s="285"/>
      <c r="B5" s="9"/>
    </row>
    <row r="6" spans="1:2">
      <c r="A6" s="285"/>
      <c r="B6" s="9"/>
    </row>
    <row r="7" spans="1:2" ht="15.75" thickBot="1">
      <c r="A7" s="286"/>
      <c r="B7" s="10"/>
    </row>
    <row r="8" spans="1:2" ht="19.5" thickBot="1">
      <c r="A8" s="2"/>
      <c r="B8" s="3"/>
    </row>
    <row r="9" spans="1:2">
      <c r="A9" s="284"/>
      <c r="B9" s="8"/>
    </row>
    <row r="10" spans="1:2">
      <c r="A10" s="285"/>
      <c r="B10" s="9"/>
    </row>
    <row r="11" spans="1:2">
      <c r="A11" s="285"/>
      <c r="B11" s="9"/>
    </row>
    <row r="12" spans="1:2">
      <c r="A12" s="285"/>
      <c r="B12" s="9"/>
    </row>
    <row r="13" spans="1:2" ht="15.75" thickBot="1">
      <c r="A13" s="286"/>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F7F02-150C-44AA-ACFE-3054112CF8E2}">
  <ds:schemaRefs>
    <ds:schemaRef ds:uri="http://purl.org/dc/terms/"/>
    <ds:schemaRef ds:uri="e01ffcf0-3b2d-4b85-8e6a-2306ae31d5c3"/>
    <ds:schemaRef ds:uri="http://schemas.microsoft.com/office/2006/metadata/properties"/>
    <ds:schemaRef ds:uri="http://purl.org/dc/dcmitype/"/>
    <ds:schemaRef ds:uri="58b2451b-b74e-458e-9a49-87527663aea3"/>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667C78-2767-48FE-B183-28F119783D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2022-06-30T07:39:05Z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